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ço dia 30 - 05" sheetId="1" r:id="rId4"/>
    <sheet state="visible" name="Abril dia 06 - 12 " sheetId="2" r:id="rId5"/>
    <sheet state="visible" name="Abril 13-19" sheetId="3" r:id="rId6"/>
    <sheet state="visible" name="Abril 20 - 26 " sheetId="4" r:id="rId7"/>
    <sheet state="visible" name="Abril 27 - 03" sheetId="5" r:id="rId8"/>
    <sheet state="visible" name="Página6" sheetId="6" r:id="rId9"/>
  </sheets>
  <definedNames/>
  <calcPr/>
  <extLst>
    <ext uri="GoogleSheetsCustomDataVersion2">
      <go:sheetsCustomData xmlns:go="http://customooxmlschemas.google.com/" r:id="rId10" roundtripDataChecksum="ykfeKYZjXxdL481l66V1WzrX5tXR0d5HkF4TO0cpLzY="/>
    </ext>
  </extLst>
</workbook>
</file>

<file path=xl/sharedStrings.xml><?xml version="1.0" encoding="utf-8"?>
<sst xmlns="http://schemas.openxmlformats.org/spreadsheetml/2006/main" count="78" uniqueCount="46">
  <si>
    <r>
      <rPr>
        <rFont val="Arial"/>
        <b/>
        <color theme="1"/>
        <sz val="15.0"/>
      </rPr>
      <t>SOMA</t>
    </r>
    <r>
      <rPr>
        <rFont val="Arial"/>
        <b/>
        <color theme="1"/>
      </rPr>
      <t xml:space="preserve"> </t>
    </r>
  </si>
  <si>
    <t xml:space="preserve">Observações </t>
  </si>
  <si>
    <t>*0548</t>
  </si>
  <si>
    <t>*0036</t>
  </si>
  <si>
    <t>*0198</t>
  </si>
  <si>
    <t>*0621</t>
  </si>
  <si>
    <t>*0203</t>
  </si>
  <si>
    <t>*0076</t>
  </si>
  <si>
    <t>*0745</t>
  </si>
  <si>
    <t>*0816</t>
  </si>
  <si>
    <t>ENTREGAS</t>
  </si>
  <si>
    <t>VALOR</t>
  </si>
  <si>
    <t xml:space="preserve">Valor a Receber </t>
  </si>
  <si>
    <t xml:space="preserve">Diárias </t>
  </si>
  <si>
    <t xml:space="preserve">Comissão </t>
  </si>
  <si>
    <t xml:space="preserve">Desconto </t>
  </si>
  <si>
    <t xml:space="preserve">Total </t>
  </si>
  <si>
    <r>
      <rPr>
        <rFont val="Arial"/>
        <b/>
        <color theme="1"/>
        <sz val="15.0"/>
      </rPr>
      <t>SOMA</t>
    </r>
    <r>
      <rPr>
        <rFont val="Arial"/>
        <b/>
        <color theme="1"/>
      </rPr>
      <t xml:space="preserve"> </t>
    </r>
  </si>
  <si>
    <t>Avenida Pedro Francisco de Morais Filho 817 Felícia</t>
  </si>
  <si>
    <t>*0457</t>
  </si>
  <si>
    <t>*0075</t>
  </si>
  <si>
    <t>Ao lado da igreja Metodista, taxa 4,99</t>
  </si>
  <si>
    <t>*0923</t>
  </si>
  <si>
    <t>*0245</t>
  </si>
  <si>
    <t>*0656</t>
  </si>
  <si>
    <t>*0308</t>
  </si>
  <si>
    <t>*0863</t>
  </si>
  <si>
    <t>*0987</t>
  </si>
  <si>
    <t>*0890</t>
  </si>
  <si>
    <t>*0318</t>
  </si>
  <si>
    <t>*0852</t>
  </si>
  <si>
    <r>
      <rPr>
        <rFont val="Arial"/>
        <b/>
        <color theme="1"/>
        <sz val="15.0"/>
      </rPr>
      <t>SOMA</t>
    </r>
    <r>
      <rPr>
        <rFont val="Arial"/>
        <b/>
        <color theme="1"/>
      </rPr>
      <t xml:space="preserve"> </t>
    </r>
  </si>
  <si>
    <t>*0044</t>
  </si>
  <si>
    <t>*0730</t>
  </si>
  <si>
    <t>*0696</t>
  </si>
  <si>
    <t>*0797</t>
  </si>
  <si>
    <t>*0469</t>
  </si>
  <si>
    <t>*0309</t>
  </si>
  <si>
    <t>*0413</t>
  </si>
  <si>
    <t>*0862</t>
  </si>
  <si>
    <t>*0381</t>
  </si>
  <si>
    <t>*0751</t>
  </si>
  <si>
    <t>*0969</t>
  </si>
  <si>
    <t>*0294</t>
  </si>
  <si>
    <r>
      <rPr>
        <rFont val="Arial"/>
        <b/>
        <color theme="1"/>
        <sz val="15.0"/>
      </rPr>
      <t>SOMA</t>
    </r>
    <r>
      <rPr>
        <rFont val="Arial"/>
        <b/>
        <color theme="1"/>
      </rPr>
      <t xml:space="preserve"> </t>
    </r>
  </si>
  <si>
    <r>
      <rPr>
        <rFont val="Arial"/>
        <b/>
        <color theme="1"/>
        <sz val="15.0"/>
      </rPr>
      <t>SOMA</t>
    </r>
    <r>
      <rPr>
        <rFont val="Arial"/>
        <b/>
        <color theme="1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</si>
</sst>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trike/>
      <color theme="1"/>
      <name val="Arial"/>
    </font>
    <font>
      <b/>
      <color rgb="FF38761D"/>
      <name val="Arial"/>
    </font>
    <font>
      <b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3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5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6" fontId="1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1" fillId="7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left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6" width="12.63"/>
    <col customWidth="1" min="21" max="21" width="22.25"/>
  </cols>
  <sheetData>
    <row r="1" ht="15.75" customHeight="1">
      <c r="A1" s="1" t="s">
        <v>0</v>
      </c>
      <c r="B1" s="1">
        <v>1.99</v>
      </c>
      <c r="C1" s="1">
        <v>2.99</v>
      </c>
      <c r="D1" s="1">
        <v>3.99</v>
      </c>
      <c r="E1" s="1">
        <v>4.99</v>
      </c>
      <c r="F1" s="1">
        <v>5.99</v>
      </c>
      <c r="G1" s="1">
        <v>6.99</v>
      </c>
      <c r="H1" s="1">
        <v>7.99</v>
      </c>
      <c r="I1" s="1">
        <v>8.99</v>
      </c>
      <c r="J1" s="1">
        <v>10.99</v>
      </c>
      <c r="K1" s="1">
        <v>11.99</v>
      </c>
      <c r="L1" s="1">
        <v>12.99</v>
      </c>
      <c r="M1" s="1">
        <v>13.99</v>
      </c>
      <c r="N1" s="1">
        <v>14.99</v>
      </c>
      <c r="O1" s="1">
        <v>15.99</v>
      </c>
      <c r="P1" s="1">
        <v>16.99</v>
      </c>
      <c r="Q1" s="1">
        <v>17.99</v>
      </c>
      <c r="R1" s="1">
        <v>18.99</v>
      </c>
      <c r="S1" s="1">
        <v>22.0</v>
      </c>
      <c r="T1" s="2"/>
      <c r="U1" s="3" t="s">
        <v>1</v>
      </c>
    </row>
    <row r="2" ht="15.75" customHeight="1">
      <c r="A2" s="4">
        <v>1.99</v>
      </c>
      <c r="B2" s="5">
        <v>8517.0</v>
      </c>
      <c r="C2" s="5">
        <v>8743.0</v>
      </c>
      <c r="D2" s="5">
        <v>9442.0</v>
      </c>
      <c r="E2" s="5">
        <v>3811.0</v>
      </c>
      <c r="F2" s="5">
        <v>8830.0</v>
      </c>
      <c r="G2" s="5"/>
      <c r="H2" s="5">
        <v>4713.0</v>
      </c>
      <c r="I2" s="6">
        <v>7357.0</v>
      </c>
      <c r="J2" s="6">
        <v>5247.0</v>
      </c>
      <c r="K2" s="5"/>
      <c r="L2" s="5"/>
      <c r="M2" s="5"/>
      <c r="N2" s="5"/>
      <c r="O2" s="5"/>
      <c r="P2" s="5"/>
      <c r="Q2" s="5"/>
      <c r="R2" s="5">
        <v>7127.0</v>
      </c>
      <c r="S2" s="5"/>
    </row>
    <row r="3" ht="15.75" customHeight="1">
      <c r="A3" s="7">
        <f>COUNTA(B2:B38)*1.99</f>
        <v>17.91</v>
      </c>
      <c r="B3" s="5">
        <v>2763.0</v>
      </c>
      <c r="C3" s="5">
        <v>4325.0</v>
      </c>
      <c r="D3" s="5">
        <v>2839.0</v>
      </c>
      <c r="E3" s="5">
        <v>7910.0</v>
      </c>
      <c r="F3" s="5">
        <v>5302.0</v>
      </c>
      <c r="G3" s="5"/>
      <c r="H3" s="5">
        <v>4961.0</v>
      </c>
      <c r="I3" s="5">
        <v>4011.0</v>
      </c>
      <c r="J3" s="5">
        <v>4657.0</v>
      </c>
      <c r="K3" s="5"/>
      <c r="L3" s="5"/>
      <c r="M3" s="5"/>
      <c r="N3" s="5"/>
      <c r="O3" s="5"/>
      <c r="P3" s="5"/>
      <c r="Q3" s="5"/>
      <c r="R3" s="5"/>
      <c r="S3" s="5"/>
    </row>
    <row r="4" ht="15.75" customHeight="1">
      <c r="A4" s="4">
        <v>2.99</v>
      </c>
      <c r="B4" s="5">
        <v>9571.0</v>
      </c>
      <c r="C4" s="5">
        <v>4625.0</v>
      </c>
      <c r="D4" s="5">
        <v>5258.0</v>
      </c>
      <c r="E4" s="5">
        <v>6138.0</v>
      </c>
      <c r="F4" s="5">
        <v>8135.0</v>
      </c>
      <c r="G4" s="5"/>
      <c r="H4" s="5">
        <v>7641.0</v>
      </c>
      <c r="I4" s="5">
        <v>2886.0</v>
      </c>
      <c r="J4" s="5">
        <v>4967.0</v>
      </c>
      <c r="K4" s="5"/>
      <c r="L4" s="5"/>
      <c r="M4" s="5"/>
      <c r="N4" s="5"/>
      <c r="O4" s="5"/>
      <c r="P4" s="5"/>
      <c r="Q4" s="5"/>
      <c r="R4" s="5"/>
      <c r="S4" s="5"/>
    </row>
    <row r="5" ht="15.75" customHeight="1">
      <c r="A5" s="7">
        <f>COUNTA(C2:C41)*2</f>
        <v>26</v>
      </c>
      <c r="B5" s="5">
        <v>7424.0</v>
      </c>
      <c r="C5" s="5">
        <v>8793.0</v>
      </c>
      <c r="D5" s="5">
        <v>6858.0</v>
      </c>
      <c r="E5" s="5">
        <v>7187.0</v>
      </c>
      <c r="F5" s="5">
        <v>3183.0</v>
      </c>
      <c r="G5" s="5"/>
      <c r="H5" s="5">
        <v>8773.0</v>
      </c>
      <c r="I5" s="5">
        <v>6625.0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6" ht="15.75" customHeight="1">
      <c r="A6" s="4">
        <v>3.99</v>
      </c>
      <c r="B6" s="5">
        <v>3780.0</v>
      </c>
      <c r="C6" s="5">
        <v>3837.0</v>
      </c>
      <c r="D6" s="5" t="s">
        <v>2</v>
      </c>
      <c r="E6" s="5">
        <v>9401.0</v>
      </c>
      <c r="F6" s="5">
        <v>9495.0</v>
      </c>
      <c r="G6" s="5"/>
      <c r="H6" s="5">
        <v>5349.0</v>
      </c>
      <c r="I6" s="5">
        <v>1464.0</v>
      </c>
      <c r="J6" s="5"/>
      <c r="K6" s="5"/>
      <c r="L6" s="5"/>
      <c r="M6" s="5"/>
      <c r="N6" s="5"/>
      <c r="O6" s="5"/>
      <c r="P6" s="5"/>
      <c r="Q6" s="5"/>
      <c r="R6" s="5"/>
      <c r="S6" s="5"/>
    </row>
    <row r="7" ht="15.75" customHeight="1">
      <c r="A7" s="7">
        <f>COUNTA(D2:D42)*3</f>
        <v>48</v>
      </c>
      <c r="B7" s="5">
        <v>1259.0</v>
      </c>
      <c r="C7" s="5">
        <v>8917.0</v>
      </c>
      <c r="D7" s="5">
        <v>3877.0</v>
      </c>
      <c r="E7" s="5">
        <v>8446.0</v>
      </c>
      <c r="F7" s="5">
        <v>3219.0</v>
      </c>
      <c r="G7" s="5"/>
      <c r="H7" s="5">
        <v>1659.0</v>
      </c>
      <c r="I7" s="5">
        <v>9425.0</v>
      </c>
      <c r="J7" s="5"/>
      <c r="K7" s="5"/>
      <c r="L7" s="5"/>
      <c r="M7" s="5"/>
      <c r="N7" s="5"/>
      <c r="O7" s="5"/>
      <c r="P7" s="5"/>
      <c r="Q7" s="5"/>
      <c r="R7" s="5"/>
      <c r="S7" s="5"/>
    </row>
    <row r="8" ht="15.75" customHeight="1">
      <c r="A8" s="4">
        <v>4.99</v>
      </c>
      <c r="B8" s="5">
        <v>2158.0</v>
      </c>
      <c r="C8" s="5">
        <v>5416.0</v>
      </c>
      <c r="D8" s="5">
        <v>6160.0</v>
      </c>
      <c r="E8" s="5">
        <v>3850.0</v>
      </c>
      <c r="F8" s="5" t="s">
        <v>3</v>
      </c>
      <c r="G8" s="5"/>
      <c r="H8" s="5" t="s">
        <v>4</v>
      </c>
      <c r="I8" s="5">
        <v>4200.0</v>
      </c>
      <c r="J8" s="5"/>
      <c r="K8" s="5"/>
      <c r="L8" s="5"/>
      <c r="M8" s="5"/>
      <c r="N8" s="5"/>
      <c r="O8" s="5"/>
      <c r="P8" s="5"/>
      <c r="Q8" s="5"/>
      <c r="R8" s="5"/>
      <c r="S8" s="5"/>
    </row>
    <row r="9" ht="15.75" customHeight="1">
      <c r="A9" s="7">
        <f>COUNTA(E2:E41)*4</f>
        <v>56</v>
      </c>
      <c r="B9" s="5">
        <v>6832.0</v>
      </c>
      <c r="C9" s="5">
        <v>6930.0</v>
      </c>
      <c r="D9" s="5">
        <v>1028.0</v>
      </c>
      <c r="E9" s="5">
        <v>2887.0</v>
      </c>
      <c r="F9" s="5">
        <v>5273.0</v>
      </c>
      <c r="G9" s="5"/>
      <c r="H9" s="5">
        <v>2955.0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ht="15.75" customHeight="1">
      <c r="A10" s="4">
        <v>5.99</v>
      </c>
      <c r="B10" s="5">
        <v>9703.0</v>
      </c>
      <c r="C10" s="5">
        <v>5307.0</v>
      </c>
      <c r="D10" s="5">
        <v>1566.0</v>
      </c>
      <c r="E10" s="5" t="s">
        <v>5</v>
      </c>
      <c r="F10" s="5">
        <v>1247.0</v>
      </c>
      <c r="G10" s="5"/>
      <c r="H10" s="5">
        <v>3167.0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15.75" customHeight="1">
      <c r="A11" s="7">
        <f>COUNTA(F2:F41)*5</f>
        <v>45</v>
      </c>
      <c r="B11" s="5"/>
      <c r="C11" s="5">
        <v>1172.0</v>
      </c>
      <c r="D11" s="5">
        <v>4107.0</v>
      </c>
      <c r="E11" s="5" t="s">
        <v>6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5.75" customHeight="1">
      <c r="A12" s="4">
        <v>6.99</v>
      </c>
      <c r="B12" s="5"/>
      <c r="C12" s="5">
        <v>9023.0</v>
      </c>
      <c r="D12" s="5">
        <v>8735.0</v>
      </c>
      <c r="E12" s="5">
        <v>8500.0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ht="15.75" customHeight="1">
      <c r="A13" s="7">
        <f>COUNTA(G2:G41)*6</f>
        <v>0</v>
      </c>
      <c r="B13" s="5"/>
      <c r="C13" s="5">
        <v>9539.0</v>
      </c>
      <c r="D13" s="5" t="s">
        <v>7</v>
      </c>
      <c r="E13" s="5" t="s">
        <v>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5.75" customHeight="1">
      <c r="A14" s="4">
        <v>7.99</v>
      </c>
      <c r="B14" s="5"/>
      <c r="C14" s="5" t="s">
        <v>9</v>
      </c>
      <c r="D14" s="5">
        <v>9580.0</v>
      </c>
      <c r="E14" s="5">
        <v>4011.0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15.75" customHeight="1">
      <c r="A15" s="7">
        <f>COUNTA(H2:H43)*7</f>
        <v>63</v>
      </c>
      <c r="B15" s="5"/>
      <c r="C15" s="5"/>
      <c r="D15" s="5">
        <v>2267.0</v>
      </c>
      <c r="E15" s="5">
        <v>6165.0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ht="15.75" customHeight="1">
      <c r="A16" s="4">
        <v>8.99</v>
      </c>
      <c r="B16" s="5"/>
      <c r="C16" s="5"/>
      <c r="D16" s="5">
        <v>2933.0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ht="15.75" customHeight="1">
      <c r="A17" s="7">
        <f>COUNTA(I2:I45)*8</f>
        <v>56</v>
      </c>
      <c r="B17" s="5"/>
      <c r="C17" s="5"/>
      <c r="D17" s="5">
        <v>5453.0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ht="15.75" customHeight="1">
      <c r="A18" s="4">
        <v>10.99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ht="15.75" customHeight="1">
      <c r="A19" s="7">
        <f>COUNTA(J2:J41)*10</f>
        <v>30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ht="15.75" customHeight="1">
      <c r="A20" s="4">
        <v>11.99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15.75" customHeight="1">
      <c r="A21" s="7">
        <f>COUNTA(K2:K80)*11</f>
        <v>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ht="15.75" customHeight="1">
      <c r="A22" s="4">
        <v>12.99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ht="15.75" customHeight="1">
      <c r="A23" s="7">
        <f>COUNTA(L2:L70)*12</f>
        <v>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ht="15.75" customHeight="1">
      <c r="A24" s="4">
        <v>13.99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ht="15.75" customHeight="1">
      <c r="A25" s="7">
        <f>COUNTA(M2:M85)*13</f>
        <v>0</v>
      </c>
      <c r="B25" s="5"/>
      <c r="C25" s="5"/>
      <c r="D25" s="5"/>
      <c r="E25" s="5"/>
      <c r="F25" s="5"/>
      <c r="G25" s="5"/>
      <c r="H25" s="8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ht="15.75" customHeight="1">
      <c r="A26" s="4">
        <v>14.99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ht="15.75" customHeight="1">
      <c r="A27" s="7">
        <f>COUNTA(N2:N37)*14</f>
        <v>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ht="15.75" customHeight="1">
      <c r="A28" s="4">
        <v>15.99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ht="15.75" customHeight="1">
      <c r="A29" s="7">
        <f>COUNTA(O2:O41)*15</f>
        <v>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ht="15.75" customHeight="1">
      <c r="A30" s="4">
        <v>16.99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ht="15.75" customHeight="1">
      <c r="A31" s="7">
        <f>COUNTA(Q2:Q41)</f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ht="15.75" customHeight="1">
      <c r="A32" s="4">
        <v>17.99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ht="15.75" customHeight="1">
      <c r="A33" s="7">
        <f>COUNTA(Q2:Q41)*17</f>
        <v>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ht="15.75" customHeight="1">
      <c r="A34" s="4">
        <v>18.99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ht="15.75" customHeight="1">
      <c r="A35" s="7">
        <f>COUNTA(R2:R41)*18</f>
        <v>18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15.75" customHeight="1">
      <c r="A36" s="4">
        <v>22.0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15.75" customHeight="1">
      <c r="A37" s="7">
        <f>COUNTA(S2:S41)*22</f>
        <v>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5.75" customHeight="1">
      <c r="A38" s="9" t="s">
        <v>10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5.75" customHeight="1">
      <c r="A39" s="10">
        <f>COUNTA(B2:S43)</f>
        <v>81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5.75" customHeight="1">
      <c r="A40" s="11" t="s">
        <v>11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5.75" customHeight="1">
      <c r="A41" s="12">
        <f>SUM(A3,A5,A7,A9,A11,A13,A15,A17,A19,A21,A23,A25,A27,A29,A31,A33,A35,A37)</f>
        <v>359.91</v>
      </c>
      <c r="B41" s="2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4" t="s">
        <v>12</v>
      </c>
      <c r="B43" s="5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ht="15.75" customHeight="1">
      <c r="A44" s="15" t="s">
        <v>13</v>
      </c>
      <c r="B44" s="7">
        <v>392.0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5" t="s">
        <v>14</v>
      </c>
      <c r="B45" s="7">
        <f>VALUE(A41)</f>
        <v>359.91</v>
      </c>
    </row>
    <row r="46" ht="15.75" customHeight="1">
      <c r="A46" s="15" t="s">
        <v>15</v>
      </c>
      <c r="B46" s="16">
        <v>-129.69</v>
      </c>
    </row>
    <row r="47" ht="15.75" customHeight="1">
      <c r="A47" s="15" t="s">
        <v>16</v>
      </c>
      <c r="B47" s="17">
        <f>SUM(B44:B46)</f>
        <v>622.22</v>
      </c>
    </row>
    <row r="48" ht="15.75" customHeight="1">
      <c r="A48" s="18"/>
    </row>
    <row r="49" ht="15.75" customHeight="1">
      <c r="A49" s="1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6" width="12.63"/>
    <col customWidth="1" min="21" max="21" width="22.25"/>
  </cols>
  <sheetData>
    <row r="1" ht="15.75" customHeight="1">
      <c r="A1" s="1" t="s">
        <v>17</v>
      </c>
      <c r="B1" s="1">
        <v>1.99</v>
      </c>
      <c r="C1" s="1">
        <v>2.99</v>
      </c>
      <c r="D1" s="1">
        <v>3.99</v>
      </c>
      <c r="E1" s="1">
        <v>4.99</v>
      </c>
      <c r="F1" s="1">
        <v>5.99</v>
      </c>
      <c r="G1" s="1">
        <v>6.99</v>
      </c>
      <c r="H1" s="1">
        <v>7.99</v>
      </c>
      <c r="I1" s="1">
        <v>8.99</v>
      </c>
      <c r="J1" s="1">
        <v>10.99</v>
      </c>
      <c r="K1" s="1">
        <v>11.99</v>
      </c>
      <c r="L1" s="1">
        <v>12.99</v>
      </c>
      <c r="M1" s="1">
        <v>13.99</v>
      </c>
      <c r="N1" s="1">
        <v>14.99</v>
      </c>
      <c r="O1" s="1">
        <v>15.99</v>
      </c>
      <c r="P1" s="1">
        <v>16.99</v>
      </c>
      <c r="Q1" s="1">
        <v>17.99</v>
      </c>
      <c r="R1" s="1">
        <v>18.99</v>
      </c>
      <c r="S1" s="1">
        <v>22.0</v>
      </c>
      <c r="T1" s="2"/>
      <c r="U1" s="3" t="s">
        <v>1</v>
      </c>
    </row>
    <row r="2" ht="15.75" customHeight="1">
      <c r="A2" s="4">
        <v>1.99</v>
      </c>
      <c r="B2" s="5">
        <v>1647.0</v>
      </c>
      <c r="C2" s="5">
        <v>8524.0</v>
      </c>
      <c r="D2" s="5">
        <v>9293.0</v>
      </c>
      <c r="E2" s="5">
        <v>7460.0</v>
      </c>
      <c r="F2" s="5">
        <v>5200.0</v>
      </c>
      <c r="G2" s="5"/>
      <c r="H2" s="5">
        <v>9327.0</v>
      </c>
      <c r="I2" s="6">
        <v>9894.0</v>
      </c>
      <c r="J2" s="6">
        <v>8850.0</v>
      </c>
      <c r="K2" s="5"/>
      <c r="L2" s="5"/>
      <c r="M2" s="5"/>
      <c r="N2" s="5"/>
      <c r="O2" s="5"/>
      <c r="P2" s="5"/>
      <c r="Q2" s="5"/>
      <c r="R2" s="5">
        <v>9508.0</v>
      </c>
      <c r="S2" s="5"/>
      <c r="U2" s="19" t="s">
        <v>18</v>
      </c>
    </row>
    <row r="3" ht="15.75" customHeight="1">
      <c r="A3" s="7">
        <f>COUNTA(B2:B38)*1.99</f>
        <v>33.83</v>
      </c>
      <c r="B3" s="5">
        <v>9012.0</v>
      </c>
      <c r="C3" s="5">
        <v>6626.0</v>
      </c>
      <c r="D3" s="5">
        <v>1763.0</v>
      </c>
      <c r="E3" s="5">
        <v>7327.0</v>
      </c>
      <c r="F3" s="5">
        <v>7360.0</v>
      </c>
      <c r="G3" s="5"/>
      <c r="H3" s="5">
        <v>9624.0</v>
      </c>
      <c r="I3" s="5">
        <v>9890.0</v>
      </c>
      <c r="J3" s="5"/>
      <c r="K3" s="5"/>
      <c r="L3" s="5"/>
      <c r="M3" s="5"/>
      <c r="N3" s="5"/>
      <c r="O3" s="5"/>
      <c r="P3" s="5"/>
      <c r="Q3" s="5"/>
      <c r="R3" s="5">
        <v>1149.0</v>
      </c>
      <c r="S3" s="5"/>
    </row>
    <row r="4" ht="15.75" customHeight="1">
      <c r="A4" s="4">
        <v>2.99</v>
      </c>
      <c r="B4" s="5">
        <v>7774.0</v>
      </c>
      <c r="C4" s="5">
        <v>9856.0</v>
      </c>
      <c r="D4" s="5">
        <v>6608.0</v>
      </c>
      <c r="E4" s="5" t="s">
        <v>19</v>
      </c>
      <c r="F4" s="5">
        <v>6940.0</v>
      </c>
      <c r="G4" s="5"/>
      <c r="H4" s="5" t="s">
        <v>20</v>
      </c>
      <c r="I4" s="5">
        <v>4800.0</v>
      </c>
      <c r="J4" s="5"/>
      <c r="K4" s="5"/>
      <c r="L4" s="5"/>
      <c r="M4" s="5"/>
      <c r="N4" s="5"/>
      <c r="O4" s="5"/>
      <c r="P4" s="5"/>
      <c r="Q4" s="5"/>
      <c r="R4" s="5"/>
      <c r="S4" s="5"/>
      <c r="U4" s="19" t="s">
        <v>21</v>
      </c>
    </row>
    <row r="5" ht="15.75" customHeight="1">
      <c r="A5" s="7">
        <f>COUNTA(C2:C41)*2</f>
        <v>56</v>
      </c>
      <c r="B5" s="5">
        <v>3896.0</v>
      </c>
      <c r="C5" s="5">
        <v>1846.0</v>
      </c>
      <c r="D5" s="5">
        <v>4577.0</v>
      </c>
      <c r="E5" s="5">
        <v>8293.0</v>
      </c>
      <c r="F5" s="5">
        <v>5639.0</v>
      </c>
      <c r="G5" s="5"/>
      <c r="H5" s="5">
        <v>9375.0</v>
      </c>
      <c r="I5" s="5" t="s">
        <v>22</v>
      </c>
      <c r="J5" s="5"/>
      <c r="K5" s="5"/>
      <c r="L5" s="5"/>
      <c r="M5" s="5"/>
      <c r="N5" s="5"/>
      <c r="O5" s="5"/>
      <c r="P5" s="5"/>
      <c r="Q5" s="5"/>
      <c r="R5" s="5"/>
      <c r="S5" s="5"/>
    </row>
    <row r="6" ht="15.75" customHeight="1">
      <c r="A6" s="4">
        <v>3.99</v>
      </c>
      <c r="B6" s="5">
        <v>1925.0</v>
      </c>
      <c r="C6" s="5">
        <v>7185.0</v>
      </c>
      <c r="D6" s="5">
        <v>5260.0</v>
      </c>
      <c r="E6" s="5">
        <v>7347.0</v>
      </c>
      <c r="F6" s="5">
        <v>4655.0</v>
      </c>
      <c r="G6" s="5"/>
      <c r="H6" s="5">
        <v>9725.0</v>
      </c>
      <c r="I6" s="5">
        <v>6098.0</v>
      </c>
      <c r="J6" s="5"/>
      <c r="K6" s="5"/>
      <c r="L6" s="5"/>
      <c r="M6" s="5"/>
      <c r="N6" s="5"/>
      <c r="O6" s="5"/>
      <c r="P6" s="5"/>
      <c r="Q6" s="5"/>
      <c r="R6" s="5"/>
      <c r="S6" s="5"/>
    </row>
    <row r="7" ht="15.75" customHeight="1">
      <c r="A7" s="7">
        <f>COUNTA(D2:D42)*3</f>
        <v>39</v>
      </c>
      <c r="B7" s="5">
        <v>6373.0</v>
      </c>
      <c r="C7" s="5" t="s">
        <v>23</v>
      </c>
      <c r="D7" s="5">
        <v>6926.0</v>
      </c>
      <c r="E7" s="5">
        <v>1456.0</v>
      </c>
      <c r="F7" s="5">
        <v>2117.0</v>
      </c>
      <c r="G7" s="5"/>
      <c r="H7" s="5">
        <v>6281.0</v>
      </c>
      <c r="I7" s="5">
        <v>2937.0</v>
      </c>
      <c r="J7" s="5"/>
      <c r="K7" s="5"/>
      <c r="L7" s="5"/>
      <c r="M7" s="5"/>
      <c r="N7" s="5"/>
      <c r="O7" s="5"/>
      <c r="P7" s="5"/>
      <c r="Q7" s="5"/>
      <c r="R7" s="5"/>
      <c r="S7" s="5"/>
    </row>
    <row r="8" ht="15.75" customHeight="1">
      <c r="A8" s="4">
        <v>4.99</v>
      </c>
      <c r="B8" s="5">
        <v>5097.0</v>
      </c>
      <c r="C8" s="5">
        <v>7538.0</v>
      </c>
      <c r="D8" s="5">
        <v>3919.0</v>
      </c>
      <c r="E8" s="5">
        <v>9820.0</v>
      </c>
      <c r="F8" s="5">
        <v>3744.0</v>
      </c>
      <c r="G8" s="5"/>
      <c r="H8" s="5">
        <v>8046.0</v>
      </c>
      <c r="I8" s="5">
        <v>8510.0</v>
      </c>
      <c r="J8" s="5"/>
      <c r="K8" s="5"/>
      <c r="L8" s="5"/>
      <c r="M8" s="5"/>
      <c r="N8" s="5"/>
      <c r="O8" s="5"/>
      <c r="P8" s="5"/>
      <c r="Q8" s="5"/>
      <c r="R8" s="5"/>
      <c r="S8" s="5"/>
    </row>
    <row r="9" ht="15.75" customHeight="1">
      <c r="A9" s="7">
        <f>COUNTA(E2:E41)*4</f>
        <v>76</v>
      </c>
      <c r="B9" s="5">
        <v>5444.0</v>
      </c>
      <c r="C9" s="5">
        <v>2504.0</v>
      </c>
      <c r="D9" s="5">
        <v>2974.0</v>
      </c>
      <c r="E9" s="5">
        <v>5499.0</v>
      </c>
      <c r="F9" s="5">
        <v>5836.0</v>
      </c>
      <c r="G9" s="5"/>
      <c r="H9" s="5">
        <v>2987.0</v>
      </c>
      <c r="I9" s="5">
        <v>7417.0</v>
      </c>
      <c r="J9" s="5"/>
      <c r="K9" s="5"/>
      <c r="L9" s="5"/>
      <c r="M9" s="5"/>
      <c r="N9" s="5"/>
      <c r="O9" s="5"/>
      <c r="P9" s="5"/>
      <c r="Q9" s="5"/>
      <c r="R9" s="5"/>
      <c r="S9" s="5"/>
    </row>
    <row r="10" ht="15.75" customHeight="1">
      <c r="A10" s="4">
        <v>5.99</v>
      </c>
      <c r="B10" s="5">
        <v>3017.0</v>
      </c>
      <c r="C10" s="5">
        <v>7668.0</v>
      </c>
      <c r="D10" s="5">
        <v>8277.0</v>
      </c>
      <c r="E10" s="5">
        <v>8812.0</v>
      </c>
      <c r="F10" s="5"/>
      <c r="G10" s="5"/>
      <c r="H10" s="5">
        <v>6783.0</v>
      </c>
      <c r="I10" s="5">
        <v>3932.0</v>
      </c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15.75" customHeight="1">
      <c r="A11" s="7">
        <f>COUNTA(F2:F41)*5</f>
        <v>40</v>
      </c>
      <c r="B11" s="5">
        <v>3261.0</v>
      </c>
      <c r="C11" s="5">
        <v>4057.0</v>
      </c>
      <c r="D11" s="5">
        <v>6027.0</v>
      </c>
      <c r="E11" s="5" t="s">
        <v>24</v>
      </c>
      <c r="F11" s="5"/>
      <c r="G11" s="5"/>
      <c r="H11" s="5"/>
      <c r="I11" s="5">
        <v>5585.0</v>
      </c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5.75" customHeight="1">
      <c r="A12" s="4">
        <v>6.99</v>
      </c>
      <c r="B12" s="5">
        <v>4062.0</v>
      </c>
      <c r="C12" s="5">
        <v>8606.0</v>
      </c>
      <c r="D12" s="5">
        <v>9505.0</v>
      </c>
      <c r="E12" s="5">
        <v>1650.0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ht="15.75" customHeight="1">
      <c r="A13" s="7">
        <f>COUNTA(G2:G41)*6</f>
        <v>0</v>
      </c>
      <c r="B13" s="5">
        <v>3748.0</v>
      </c>
      <c r="C13" s="5" t="s">
        <v>25</v>
      </c>
      <c r="D13" s="5" t="s">
        <v>26</v>
      </c>
      <c r="E13" s="5">
        <v>6368.0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5.75" customHeight="1">
      <c r="A14" s="4">
        <v>7.99</v>
      </c>
      <c r="B14" s="5" t="s">
        <v>27</v>
      </c>
      <c r="C14" s="5">
        <v>1499.0</v>
      </c>
      <c r="D14" s="5">
        <v>1005.0</v>
      </c>
      <c r="E14" s="5">
        <v>9078.0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15.75" customHeight="1">
      <c r="A15" s="7">
        <f>COUNTA(H2:H43)*7</f>
        <v>63</v>
      </c>
      <c r="B15" s="5">
        <v>5814.0</v>
      </c>
      <c r="C15" s="5">
        <v>8141.0</v>
      </c>
      <c r="D15" s="5"/>
      <c r="E15" s="5">
        <v>9108.0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ht="15.75" customHeight="1">
      <c r="A16" s="4">
        <v>8.99</v>
      </c>
      <c r="B16" s="5">
        <v>8369.0</v>
      </c>
      <c r="C16" s="5">
        <v>9032.0</v>
      </c>
      <c r="D16" s="5"/>
      <c r="E16" s="5">
        <v>6372.0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ht="15.75" customHeight="1">
      <c r="A17" s="7">
        <f>COUNTA(I2:I45)*8</f>
        <v>80</v>
      </c>
      <c r="B17" s="5" t="s">
        <v>28</v>
      </c>
      <c r="C17" s="5">
        <v>4944.0</v>
      </c>
      <c r="D17" s="5"/>
      <c r="E17" s="5" t="s">
        <v>29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ht="15.75" customHeight="1">
      <c r="A18" s="4">
        <v>10.99</v>
      </c>
      <c r="B18" s="5">
        <v>8159.0</v>
      </c>
      <c r="C18" s="5">
        <v>3088.0</v>
      </c>
      <c r="D18" s="5"/>
      <c r="E18" s="5">
        <v>3900.0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ht="15.75" customHeight="1">
      <c r="A19" s="7">
        <f>COUNTA(J2:J41)*10</f>
        <v>10</v>
      </c>
      <c r="B19" s="5"/>
      <c r="C19" s="5">
        <v>5483.0</v>
      </c>
      <c r="D19" s="5"/>
      <c r="E19" s="5">
        <v>2571.0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ht="15.75" customHeight="1">
      <c r="A20" s="4">
        <v>11.99</v>
      </c>
      <c r="B20" s="5"/>
      <c r="C20" s="5">
        <v>8856.0</v>
      </c>
      <c r="D20" s="5"/>
      <c r="E20" s="5">
        <v>1599.0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15.75" customHeight="1">
      <c r="A21" s="7">
        <f>COUNTA(K2:K80)*11</f>
        <v>0</v>
      </c>
      <c r="B21" s="5"/>
      <c r="C21" s="5">
        <v>5061.0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ht="15.75" customHeight="1">
      <c r="A22" s="4">
        <v>12.99</v>
      </c>
      <c r="B22" s="5"/>
      <c r="C22" s="5">
        <v>4174.0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ht="15.75" customHeight="1">
      <c r="A23" s="7">
        <f>COUNTA(L2:L70)*12</f>
        <v>0</v>
      </c>
      <c r="B23" s="5"/>
      <c r="C23" s="5">
        <v>3040.0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ht="15.75" customHeight="1">
      <c r="A24" s="4">
        <v>13.99</v>
      </c>
      <c r="B24" s="5"/>
      <c r="C24" s="5">
        <v>8719.0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ht="15.75" customHeight="1">
      <c r="A25" s="7">
        <f>COUNTA(M2:M85)*13</f>
        <v>0</v>
      </c>
      <c r="B25" s="5"/>
      <c r="C25" s="5">
        <v>9784.0</v>
      </c>
      <c r="D25" s="5"/>
      <c r="E25" s="5"/>
      <c r="F25" s="5"/>
      <c r="G25" s="5"/>
      <c r="H25" s="8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ht="15.75" customHeight="1">
      <c r="A26" s="4">
        <v>14.99</v>
      </c>
      <c r="B26" s="5"/>
      <c r="C26" s="5">
        <v>3774.0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ht="15.75" customHeight="1">
      <c r="A27" s="7">
        <f>COUNTA(N2:N37)*14</f>
        <v>0</v>
      </c>
      <c r="B27" s="5"/>
      <c r="C27" s="5">
        <v>7275.0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ht="15.75" customHeight="1">
      <c r="A28" s="4">
        <v>15.99</v>
      </c>
      <c r="B28" s="5"/>
      <c r="C28" s="5" t="s">
        <v>30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ht="15.75" customHeight="1">
      <c r="A29" s="7">
        <f>COUNTA(O2:O41)*15</f>
        <v>0</v>
      </c>
      <c r="B29" s="5"/>
      <c r="C29" s="5">
        <v>6441.0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ht="15.75" customHeight="1">
      <c r="A30" s="4">
        <v>16.99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ht="15.75" customHeight="1">
      <c r="A31" s="7">
        <f>COUNTA(Q2:Q41)</f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ht="15.75" customHeight="1">
      <c r="A32" s="4">
        <v>17.99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ht="15.75" customHeight="1">
      <c r="A33" s="7">
        <f>COUNTA(Q2:Q41)*17</f>
        <v>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ht="15.75" customHeight="1">
      <c r="A34" s="4">
        <v>18.99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ht="15.75" customHeight="1">
      <c r="A35" s="7">
        <f>COUNTA(R2:R41)*18</f>
        <v>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15.75" customHeight="1">
      <c r="A36" s="4">
        <v>22.0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15.75" customHeight="1">
      <c r="A37" s="7">
        <f>COUNTA(S2:S41)*22</f>
        <v>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5.75" customHeight="1">
      <c r="A38" s="9" t="s">
        <v>10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5.75" customHeight="1">
      <c r="A39" s="10">
        <f>COUNTA(B2:S43)</f>
        <v>107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5.75" customHeight="1">
      <c r="A40" s="11" t="s">
        <v>11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5.75" customHeight="1">
      <c r="A41" s="12">
        <f>SUM(A3,A5,A7,A9,A11,A13,A15,A17,A19,A21,A23,A25,A27,A29,A31,A33,A35,A37)</f>
        <v>433.83</v>
      </c>
      <c r="B41" s="2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4" t="s">
        <v>12</v>
      </c>
      <c r="B43" s="5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ht="15.75" customHeight="1">
      <c r="A44" s="15" t="s">
        <v>13</v>
      </c>
      <c r="B44" s="7">
        <v>392.0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5" t="s">
        <v>14</v>
      </c>
      <c r="B45" s="7">
        <f>VALUE(A41)</f>
        <v>433.83</v>
      </c>
    </row>
    <row r="46" ht="15.75" customHeight="1">
      <c r="A46" s="15" t="s">
        <v>15</v>
      </c>
      <c r="B46" s="16">
        <v>-110.14</v>
      </c>
    </row>
    <row r="47" ht="15.75" customHeight="1">
      <c r="A47" s="15" t="s">
        <v>16</v>
      </c>
      <c r="B47" s="17">
        <f>SUM(B44:B46)</f>
        <v>715.69</v>
      </c>
    </row>
    <row r="48" ht="15.75" customHeight="1">
      <c r="A48" s="18"/>
    </row>
    <row r="49" ht="15.75" customHeight="1">
      <c r="A49" s="1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6" width="12.63"/>
    <col customWidth="1" min="21" max="21" width="22.25"/>
  </cols>
  <sheetData>
    <row r="1" ht="15.75" customHeight="1">
      <c r="A1" s="1" t="s">
        <v>31</v>
      </c>
      <c r="B1" s="1">
        <v>1.99</v>
      </c>
      <c r="C1" s="1">
        <v>2.99</v>
      </c>
      <c r="D1" s="1">
        <v>3.99</v>
      </c>
      <c r="E1" s="1">
        <v>4.99</v>
      </c>
      <c r="F1" s="1">
        <v>5.99</v>
      </c>
      <c r="G1" s="1">
        <v>6.99</v>
      </c>
      <c r="H1" s="1">
        <v>7.99</v>
      </c>
      <c r="I1" s="1">
        <v>8.99</v>
      </c>
      <c r="J1" s="1">
        <v>10.99</v>
      </c>
      <c r="K1" s="1">
        <v>11.99</v>
      </c>
      <c r="L1" s="1">
        <v>12.99</v>
      </c>
      <c r="M1" s="1">
        <v>13.99</v>
      </c>
      <c r="N1" s="1">
        <v>14.99</v>
      </c>
      <c r="O1" s="1">
        <v>15.99</v>
      </c>
      <c r="P1" s="1">
        <v>16.99</v>
      </c>
      <c r="Q1" s="1">
        <v>17.99</v>
      </c>
      <c r="R1" s="1">
        <v>18.99</v>
      </c>
      <c r="S1" s="1">
        <v>22.0</v>
      </c>
      <c r="T1" s="2"/>
      <c r="U1" s="3" t="s">
        <v>1</v>
      </c>
    </row>
    <row r="2" ht="15.75" customHeight="1">
      <c r="A2" s="4">
        <v>1.99</v>
      </c>
      <c r="B2" s="5">
        <v>5418.0</v>
      </c>
      <c r="C2" s="5">
        <v>6899.0</v>
      </c>
      <c r="D2" s="5">
        <v>6881.0</v>
      </c>
      <c r="E2" s="5">
        <v>4750.0</v>
      </c>
      <c r="F2" s="5" t="s">
        <v>32</v>
      </c>
      <c r="G2" s="5"/>
      <c r="H2" s="5">
        <v>3863.0</v>
      </c>
      <c r="I2" s="6">
        <v>5289.0</v>
      </c>
      <c r="J2" s="6">
        <v>8765.0</v>
      </c>
      <c r="K2" s="5"/>
      <c r="L2" s="5"/>
      <c r="M2" s="5"/>
      <c r="N2" s="5"/>
      <c r="O2" s="5"/>
      <c r="P2" s="5"/>
      <c r="Q2" s="5"/>
      <c r="R2" s="5"/>
      <c r="S2" s="5"/>
    </row>
    <row r="3" ht="15.75" customHeight="1">
      <c r="A3" s="7">
        <f>COUNTA(B2:B38)*1.99</f>
        <v>31.84</v>
      </c>
      <c r="B3" s="5">
        <v>9640.0</v>
      </c>
      <c r="C3" s="5">
        <v>5441.0</v>
      </c>
      <c r="D3" s="5">
        <v>1520.0</v>
      </c>
      <c r="E3" s="5">
        <v>4818.0</v>
      </c>
      <c r="F3" s="5">
        <v>9236.0</v>
      </c>
      <c r="G3" s="5"/>
      <c r="H3" s="5">
        <v>1030.0</v>
      </c>
      <c r="I3" s="5">
        <v>8217.0</v>
      </c>
      <c r="J3" s="5">
        <v>1011.0</v>
      </c>
      <c r="K3" s="5"/>
      <c r="L3" s="5"/>
      <c r="M3" s="5"/>
      <c r="N3" s="5"/>
      <c r="O3" s="5"/>
      <c r="P3" s="5"/>
      <c r="Q3" s="5"/>
      <c r="R3" s="5"/>
      <c r="S3" s="5"/>
    </row>
    <row r="4" ht="15.75" customHeight="1">
      <c r="A4" s="4">
        <v>2.99</v>
      </c>
      <c r="B4" s="5" t="s">
        <v>33</v>
      </c>
      <c r="C4" s="5">
        <v>8074.0</v>
      </c>
      <c r="D4" s="5">
        <v>1761.0</v>
      </c>
      <c r="E4" s="5">
        <v>2774.0</v>
      </c>
      <c r="F4" s="5" t="s">
        <v>34</v>
      </c>
      <c r="G4" s="5"/>
      <c r="H4" s="5">
        <v>9624.0</v>
      </c>
      <c r="I4" s="5">
        <v>7813.0</v>
      </c>
      <c r="J4" s="5"/>
      <c r="K4" s="5"/>
      <c r="L4" s="5"/>
      <c r="M4" s="5"/>
      <c r="N4" s="5"/>
      <c r="O4" s="5"/>
      <c r="P4" s="5"/>
      <c r="Q4" s="5"/>
      <c r="R4" s="5"/>
      <c r="S4" s="5"/>
    </row>
    <row r="5" ht="15.75" customHeight="1">
      <c r="A5" s="7">
        <f>COUNTA(C2:C41)*2</f>
        <v>46</v>
      </c>
      <c r="B5" s="5">
        <v>2091.0</v>
      </c>
      <c r="C5" s="5">
        <v>1723.0</v>
      </c>
      <c r="D5" s="5">
        <v>1485.0</v>
      </c>
      <c r="E5" s="5">
        <v>6406.0</v>
      </c>
      <c r="F5" s="5">
        <v>8324.0</v>
      </c>
      <c r="G5" s="5"/>
      <c r="H5" s="5">
        <v>3602.0</v>
      </c>
      <c r="I5" s="5">
        <v>8487.0</v>
      </c>
      <c r="J5" s="5"/>
      <c r="K5" s="5"/>
      <c r="L5" s="5"/>
      <c r="M5" s="5"/>
      <c r="N5" s="5"/>
      <c r="O5" s="5"/>
      <c r="P5" s="5"/>
      <c r="Q5" s="5"/>
      <c r="R5" s="5"/>
      <c r="S5" s="5"/>
    </row>
    <row r="6" ht="15.75" customHeight="1">
      <c r="A6" s="4">
        <v>3.99</v>
      </c>
      <c r="B6" s="5">
        <v>1078.0</v>
      </c>
      <c r="C6" s="5">
        <v>4801.0</v>
      </c>
      <c r="D6" s="5">
        <v>7657.0</v>
      </c>
      <c r="E6" s="5">
        <v>1426.0</v>
      </c>
      <c r="F6" s="5"/>
      <c r="G6" s="5"/>
      <c r="H6" s="5">
        <v>8278.0</v>
      </c>
      <c r="I6" s="5">
        <v>6086.0</v>
      </c>
      <c r="J6" s="5"/>
      <c r="K6" s="5"/>
      <c r="L6" s="5"/>
      <c r="M6" s="5"/>
      <c r="N6" s="5"/>
      <c r="O6" s="5"/>
      <c r="P6" s="5"/>
      <c r="Q6" s="5"/>
      <c r="R6" s="5"/>
      <c r="S6" s="5"/>
    </row>
    <row r="7" ht="15.75" customHeight="1">
      <c r="A7" s="7">
        <f>COUNTA(D2:D42)*3</f>
        <v>63</v>
      </c>
      <c r="B7" s="5" t="s">
        <v>35</v>
      </c>
      <c r="C7" s="5" t="s">
        <v>36</v>
      </c>
      <c r="D7" s="5">
        <v>1963.0</v>
      </c>
      <c r="E7" s="5">
        <v>8239.0</v>
      </c>
      <c r="F7" s="5"/>
      <c r="G7" s="5"/>
      <c r="H7" s="5">
        <v>4558.0</v>
      </c>
      <c r="I7" s="5" t="s">
        <v>37</v>
      </c>
      <c r="J7" s="5"/>
      <c r="K7" s="5"/>
      <c r="L7" s="5"/>
      <c r="M7" s="5"/>
      <c r="N7" s="5"/>
      <c r="O7" s="5"/>
      <c r="P7" s="5"/>
      <c r="Q7" s="5"/>
      <c r="R7" s="5"/>
      <c r="S7" s="5"/>
    </row>
    <row r="8" ht="15.75" customHeight="1">
      <c r="A8" s="4">
        <v>4.99</v>
      </c>
      <c r="B8" s="5" t="s">
        <v>38</v>
      </c>
      <c r="C8" s="5">
        <v>8242.0</v>
      </c>
      <c r="D8" s="5">
        <v>5538.0</v>
      </c>
      <c r="E8" s="5">
        <v>9625.0</v>
      </c>
      <c r="F8" s="5"/>
      <c r="G8" s="5"/>
      <c r="H8" s="5">
        <v>2491.0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ht="15.75" customHeight="1">
      <c r="A9" s="7">
        <f>COUNTA(E2:E41)*4</f>
        <v>68</v>
      </c>
      <c r="B9" s="5">
        <v>2915.0</v>
      </c>
      <c r="C9" s="5" t="s">
        <v>39</v>
      </c>
      <c r="D9" s="5">
        <v>5973.0</v>
      </c>
      <c r="E9" s="5">
        <v>7254.0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ht="15.75" customHeight="1">
      <c r="A10" s="4">
        <v>5.99</v>
      </c>
      <c r="B10" s="5">
        <v>1520.0</v>
      </c>
      <c r="C10" s="5">
        <v>8413.0</v>
      </c>
      <c r="D10" s="5">
        <v>5885.0</v>
      </c>
      <c r="E10" s="5">
        <v>3770.0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15.75" customHeight="1">
      <c r="A11" s="7">
        <f>COUNTA(F2:F41)*5</f>
        <v>20</v>
      </c>
      <c r="B11" s="5">
        <v>6454.0</v>
      </c>
      <c r="C11" s="5">
        <v>2289.0</v>
      </c>
      <c r="D11" s="5">
        <v>7227.0</v>
      </c>
      <c r="E11" s="5">
        <v>8090.0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5.75" customHeight="1">
      <c r="A12" s="4">
        <v>6.99</v>
      </c>
      <c r="B12" s="5">
        <v>7984.0</v>
      </c>
      <c r="C12" s="5">
        <v>2126.0</v>
      </c>
      <c r="D12" s="5">
        <v>2741.0</v>
      </c>
      <c r="E12" s="5">
        <v>9387.0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ht="15.75" customHeight="1">
      <c r="A13" s="7">
        <f>COUNTA(G2:G41)*6</f>
        <v>0</v>
      </c>
      <c r="B13" s="5">
        <v>4895.0</v>
      </c>
      <c r="C13" s="5">
        <v>2149.0</v>
      </c>
      <c r="D13" s="5">
        <v>6064.0</v>
      </c>
      <c r="E13" s="5">
        <v>2450.0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5.75" customHeight="1">
      <c r="A14" s="4">
        <v>7.99</v>
      </c>
      <c r="B14" s="5">
        <v>5473.0</v>
      </c>
      <c r="C14" s="5">
        <v>3571.0</v>
      </c>
      <c r="D14" s="5">
        <v>7972.0</v>
      </c>
      <c r="E14" s="5" t="s">
        <v>40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15.75" customHeight="1">
      <c r="A15" s="7">
        <f>COUNTA(H2:H43)*7</f>
        <v>49</v>
      </c>
      <c r="B15" s="5" t="s">
        <v>41</v>
      </c>
      <c r="C15" s="5">
        <v>4215.0</v>
      </c>
      <c r="D15" s="5" t="s">
        <v>42</v>
      </c>
      <c r="E15" s="5">
        <v>3335.0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ht="15.75" customHeight="1">
      <c r="A16" s="4">
        <v>8.99</v>
      </c>
      <c r="B16" s="5">
        <v>1845.0</v>
      </c>
      <c r="C16" s="5">
        <v>3482.0</v>
      </c>
      <c r="D16" s="5">
        <v>9087.0</v>
      </c>
      <c r="E16" s="5">
        <v>4067.0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ht="15.75" customHeight="1">
      <c r="A17" s="7">
        <f>COUNTA(I2:I45)*8</f>
        <v>48</v>
      </c>
      <c r="B17" s="5">
        <v>8294.0</v>
      </c>
      <c r="C17" s="5">
        <v>8436.0</v>
      </c>
      <c r="D17" s="5">
        <v>1038.0</v>
      </c>
      <c r="E17" s="5">
        <v>9158.0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ht="15.75" customHeight="1">
      <c r="A18" s="4">
        <v>10.99</v>
      </c>
      <c r="B18" s="5"/>
      <c r="C18" s="5">
        <v>9482.0</v>
      </c>
      <c r="D18" s="5">
        <v>1294.0</v>
      </c>
      <c r="E18" s="5">
        <v>4947.0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ht="15.75" customHeight="1">
      <c r="A19" s="7">
        <f>COUNTA(J2:J41)*10</f>
        <v>20</v>
      </c>
      <c r="B19" s="5"/>
      <c r="C19" s="5">
        <v>5279.0</v>
      </c>
      <c r="D19" s="5" t="s">
        <v>43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ht="15.75" customHeight="1">
      <c r="A20" s="4">
        <v>11.99</v>
      </c>
      <c r="B20" s="5"/>
      <c r="C20" s="5">
        <v>9297.0</v>
      </c>
      <c r="D20" s="5">
        <v>2559.0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15.75" customHeight="1">
      <c r="A21" s="7">
        <f>COUNTA(K2:K80)*11</f>
        <v>0</v>
      </c>
      <c r="B21" s="5"/>
      <c r="C21" s="5">
        <v>4712.0</v>
      </c>
      <c r="D21" s="5">
        <v>5338.0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ht="15.75" customHeight="1">
      <c r="A22" s="4">
        <v>12.99</v>
      </c>
      <c r="B22" s="5"/>
      <c r="C22" s="5">
        <v>7384.0</v>
      </c>
      <c r="D22" s="5">
        <v>2537.0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ht="15.75" customHeight="1">
      <c r="A23" s="7">
        <f>COUNTA(L2:L70)*12</f>
        <v>0</v>
      </c>
      <c r="B23" s="5"/>
      <c r="C23" s="5">
        <v>9052.0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ht="15.75" customHeight="1">
      <c r="A24" s="4">
        <v>13.99</v>
      </c>
      <c r="B24" s="5"/>
      <c r="C24" s="5">
        <v>7631.0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ht="15.75" customHeight="1">
      <c r="A25" s="7">
        <f>COUNTA(M2:M85)*13</f>
        <v>0</v>
      </c>
      <c r="B25" s="5"/>
      <c r="C25" s="5"/>
      <c r="D25" s="5"/>
      <c r="E25" s="5"/>
      <c r="F25" s="5"/>
      <c r="G25" s="5"/>
      <c r="H25" s="8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ht="15.75" customHeight="1">
      <c r="A26" s="4">
        <v>14.99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ht="15.75" customHeight="1">
      <c r="A27" s="7">
        <f>COUNTA(N2:N37)*14</f>
        <v>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ht="15.75" customHeight="1">
      <c r="A28" s="4">
        <v>15.99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ht="15.75" customHeight="1">
      <c r="A29" s="7">
        <f>COUNTA(O2:O41)*15</f>
        <v>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ht="15.75" customHeight="1">
      <c r="A30" s="4">
        <v>16.99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ht="15.75" customHeight="1">
      <c r="A31" s="7">
        <f>COUNTA(Q2:Q41)</f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ht="15.75" customHeight="1">
      <c r="A32" s="4">
        <v>17.99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ht="15.75" customHeight="1">
      <c r="A33" s="7">
        <f>COUNTA(Q2:Q41)*17</f>
        <v>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ht="15.75" customHeight="1">
      <c r="A34" s="4">
        <v>18.99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ht="15.75" customHeight="1">
      <c r="A35" s="7">
        <f>COUNTA(R2:R41)*18</f>
        <v>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15.75" customHeight="1">
      <c r="A36" s="4">
        <v>22.0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15.75" customHeight="1">
      <c r="A37" s="7">
        <f>COUNTA(S2:S41)*22</f>
        <v>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5.75" customHeight="1">
      <c r="A38" s="9" t="s">
        <v>10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5.75" customHeight="1">
      <c r="A39" s="10">
        <f>COUNTA(B2:S43)</f>
        <v>96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5.75" customHeight="1">
      <c r="A40" s="11" t="s">
        <v>11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5.75" customHeight="1">
      <c r="A41" s="12">
        <f>SUM(A3,A5,A7,A9,A11,A13,A15,A17,A19,A21,A23,A25,A27,A29,A31,A33,A35,A37)</f>
        <v>345.84</v>
      </c>
      <c r="B41" s="2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4" t="s">
        <v>12</v>
      </c>
      <c r="B43" s="5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ht="15.75" customHeight="1">
      <c r="A44" s="15" t="s">
        <v>13</v>
      </c>
      <c r="B44" s="7">
        <v>392.0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5" t="s">
        <v>14</v>
      </c>
      <c r="B45" s="7">
        <f>VALUE(A41)</f>
        <v>345.84</v>
      </c>
    </row>
    <row r="46" ht="15.75" customHeight="1">
      <c r="A46" s="15" t="s">
        <v>15</v>
      </c>
      <c r="B46" s="16"/>
    </row>
    <row r="47" ht="15.75" customHeight="1">
      <c r="A47" s="15" t="s">
        <v>16</v>
      </c>
      <c r="B47" s="17">
        <f>SUM(B44:B46)</f>
        <v>737.84</v>
      </c>
    </row>
    <row r="48" ht="15.75" customHeight="1">
      <c r="A48" s="18"/>
    </row>
    <row r="49" ht="15.75" customHeight="1">
      <c r="A49" s="1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6" width="12.63"/>
    <col customWidth="1" min="21" max="21" width="22.25"/>
  </cols>
  <sheetData>
    <row r="1" ht="15.75" customHeight="1">
      <c r="A1" s="1" t="s">
        <v>44</v>
      </c>
      <c r="B1" s="1">
        <v>1.99</v>
      </c>
      <c r="C1" s="1">
        <v>2.99</v>
      </c>
      <c r="D1" s="1">
        <v>3.99</v>
      </c>
      <c r="E1" s="1">
        <v>4.99</v>
      </c>
      <c r="F1" s="1">
        <v>5.99</v>
      </c>
      <c r="G1" s="1">
        <v>6.99</v>
      </c>
      <c r="H1" s="1">
        <v>7.99</v>
      </c>
      <c r="I1" s="1">
        <v>8.99</v>
      </c>
      <c r="J1" s="1">
        <v>10.99</v>
      </c>
      <c r="K1" s="1">
        <v>11.99</v>
      </c>
      <c r="L1" s="1">
        <v>12.99</v>
      </c>
      <c r="M1" s="1">
        <v>13.99</v>
      </c>
      <c r="N1" s="1">
        <v>14.99</v>
      </c>
      <c r="O1" s="1">
        <v>15.99</v>
      </c>
      <c r="P1" s="1">
        <v>16.99</v>
      </c>
      <c r="Q1" s="1">
        <v>17.99</v>
      </c>
      <c r="R1" s="1">
        <v>18.99</v>
      </c>
      <c r="S1" s="1">
        <v>22.0</v>
      </c>
      <c r="T1" s="2"/>
      <c r="U1" s="3" t="s">
        <v>1</v>
      </c>
    </row>
    <row r="2" ht="15.75" customHeight="1">
      <c r="A2" s="4">
        <v>1.99</v>
      </c>
      <c r="B2" s="5"/>
      <c r="C2" s="5"/>
      <c r="D2" s="5"/>
      <c r="E2" s="5"/>
      <c r="F2" s="5"/>
      <c r="G2" s="5"/>
      <c r="H2" s="5"/>
      <c r="I2" s="6"/>
      <c r="J2" s="6"/>
      <c r="K2" s="5"/>
      <c r="L2" s="5"/>
      <c r="M2" s="5"/>
      <c r="N2" s="5"/>
      <c r="O2" s="5"/>
      <c r="P2" s="5"/>
      <c r="Q2" s="5"/>
      <c r="R2" s="5"/>
      <c r="S2" s="5"/>
    </row>
    <row r="3" ht="15.75" customHeight="1">
      <c r="A3" s="7">
        <f>COUNTA(B2:B38)*1.99</f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ht="15.75" customHeight="1">
      <c r="A4" s="4">
        <v>2.99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ht="15.75" customHeight="1">
      <c r="A5" s="7">
        <f>COUNTA(C2:C41)*2</f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ht="15.75" customHeight="1">
      <c r="A6" s="4">
        <v>3.99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ht="15.75" customHeight="1">
      <c r="A7" s="7">
        <f>COUNTA(D2:D42)*3</f>
        <v>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5.75" customHeight="1">
      <c r="A8" s="4">
        <v>4.99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ht="15.75" customHeight="1">
      <c r="A9" s="7">
        <f>COUNTA(E2:E41)*4</f>
        <v>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ht="15.75" customHeight="1">
      <c r="A10" s="4">
        <v>5.99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15.75" customHeight="1">
      <c r="A11" s="7">
        <f>COUNTA(F2:F41)*5</f>
        <v>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5.75" customHeight="1">
      <c r="A12" s="4">
        <v>6.99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ht="15.75" customHeight="1">
      <c r="A13" s="7">
        <f>COUNTA(G2:G41)*6</f>
        <v>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5.75" customHeight="1">
      <c r="A14" s="4">
        <v>7.99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15.75" customHeight="1">
      <c r="A15" s="7">
        <f>COUNTA(H2:H43)*7</f>
        <v>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ht="15.75" customHeight="1">
      <c r="A16" s="4">
        <v>8.99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ht="15.75" customHeight="1">
      <c r="A17" s="7">
        <f>COUNTA(I2:I45)*8</f>
        <v>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ht="15.75" customHeight="1">
      <c r="A18" s="4">
        <v>10.99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ht="15.75" customHeight="1">
      <c r="A19" s="7">
        <f>COUNTA(J2:J41)*10</f>
        <v>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ht="15.75" customHeight="1">
      <c r="A20" s="4">
        <v>11.99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15.75" customHeight="1">
      <c r="A21" s="7">
        <f>COUNTA(K2:K80)*11</f>
        <v>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ht="15.75" customHeight="1">
      <c r="A22" s="4">
        <v>12.99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ht="15.75" customHeight="1">
      <c r="A23" s="7">
        <f>COUNTA(L2:L70)*12</f>
        <v>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ht="15.75" customHeight="1">
      <c r="A24" s="4">
        <v>13.99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ht="15.75" customHeight="1">
      <c r="A25" s="7">
        <f>COUNTA(M2:M85)*13</f>
        <v>0</v>
      </c>
      <c r="B25" s="5"/>
      <c r="C25" s="5"/>
      <c r="D25" s="5"/>
      <c r="E25" s="5"/>
      <c r="F25" s="5"/>
      <c r="G25" s="5"/>
      <c r="H25" s="8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ht="15.75" customHeight="1">
      <c r="A26" s="4">
        <v>14.99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ht="15.75" customHeight="1">
      <c r="A27" s="7">
        <f>COUNTA(N2:N37)*14</f>
        <v>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ht="15.75" customHeight="1">
      <c r="A28" s="4">
        <v>15.99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ht="15.75" customHeight="1">
      <c r="A29" s="7">
        <f>COUNTA(O2:O41)*15</f>
        <v>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ht="15.75" customHeight="1">
      <c r="A30" s="4">
        <v>16.99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ht="15.75" customHeight="1">
      <c r="A31" s="7">
        <f>COUNTA(Q2:Q41)</f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ht="15.75" customHeight="1">
      <c r="A32" s="4">
        <v>17.99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ht="15.75" customHeight="1">
      <c r="A33" s="7">
        <f>COUNTA(Q2:Q41)*17</f>
        <v>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ht="15.75" customHeight="1">
      <c r="A34" s="4">
        <v>18.99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ht="15.75" customHeight="1">
      <c r="A35" s="7">
        <f>COUNTA(R2:R41)*18</f>
        <v>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15.75" customHeight="1">
      <c r="A36" s="4">
        <v>22.0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15.75" customHeight="1">
      <c r="A37" s="7">
        <f>COUNTA(S2:S41)*22</f>
        <v>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5.75" customHeight="1">
      <c r="A38" s="9" t="s">
        <v>10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5.75" customHeight="1">
      <c r="A39" s="10">
        <f>COUNTA(B2:S43)</f>
        <v>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5.75" customHeight="1">
      <c r="A40" s="11" t="s">
        <v>11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5.75" customHeight="1">
      <c r="A41" s="12">
        <f>SUM(A3,A5,A7,A9,A11,A13,A15,A17,A19,A21,A23,A25,A27,A29,A31,A33,A35,A37)</f>
        <v>0</v>
      </c>
      <c r="B41" s="2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4" t="s">
        <v>12</v>
      </c>
      <c r="B43" s="5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ht="15.75" customHeight="1">
      <c r="A44" s="15" t="s">
        <v>13</v>
      </c>
      <c r="B44" s="7">
        <v>392.0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5" t="s">
        <v>14</v>
      </c>
      <c r="B45" s="7">
        <f>VALUE(A41)</f>
        <v>0</v>
      </c>
    </row>
    <row r="46" ht="15.75" customHeight="1">
      <c r="A46" s="15" t="s">
        <v>15</v>
      </c>
      <c r="B46" s="16"/>
    </row>
    <row r="47" ht="15.75" customHeight="1">
      <c r="A47" s="15" t="s">
        <v>16</v>
      </c>
      <c r="B47" s="17">
        <f>SUM(B44:B46)</f>
        <v>392</v>
      </c>
    </row>
    <row r="48" ht="15.75" customHeight="1">
      <c r="A48" s="18"/>
    </row>
    <row r="49" ht="15.75" customHeight="1">
      <c r="A49" s="1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6" width="12.63"/>
    <col customWidth="1" min="21" max="21" width="22.25"/>
  </cols>
  <sheetData>
    <row r="1" ht="15.75" customHeight="1">
      <c r="A1" s="1" t="s">
        <v>45</v>
      </c>
      <c r="B1" s="1">
        <v>1.99</v>
      </c>
      <c r="C1" s="1">
        <v>2.99</v>
      </c>
      <c r="D1" s="1">
        <v>3.99</v>
      </c>
      <c r="E1" s="1">
        <v>4.99</v>
      </c>
      <c r="F1" s="1">
        <v>5.99</v>
      </c>
      <c r="G1" s="1">
        <v>6.99</v>
      </c>
      <c r="H1" s="1">
        <v>7.99</v>
      </c>
      <c r="I1" s="1">
        <v>8.99</v>
      </c>
      <c r="J1" s="1">
        <v>10.99</v>
      </c>
      <c r="K1" s="1">
        <v>11.99</v>
      </c>
      <c r="L1" s="1">
        <v>12.99</v>
      </c>
      <c r="M1" s="1">
        <v>13.99</v>
      </c>
      <c r="N1" s="1">
        <v>14.99</v>
      </c>
      <c r="O1" s="1">
        <v>15.99</v>
      </c>
      <c r="P1" s="1">
        <v>16.99</v>
      </c>
      <c r="Q1" s="1">
        <v>17.99</v>
      </c>
      <c r="R1" s="1">
        <v>18.99</v>
      </c>
      <c r="S1" s="1">
        <v>22.0</v>
      </c>
      <c r="T1" s="2"/>
      <c r="U1" s="3" t="s">
        <v>1</v>
      </c>
    </row>
    <row r="2" ht="15.75" customHeight="1">
      <c r="A2" s="4">
        <v>1.99</v>
      </c>
      <c r="B2" s="5"/>
      <c r="C2" s="5"/>
      <c r="D2" s="5"/>
      <c r="E2" s="5"/>
      <c r="F2" s="5"/>
      <c r="G2" s="5"/>
      <c r="H2" s="5"/>
      <c r="I2" s="6"/>
      <c r="J2" s="6"/>
      <c r="K2" s="5"/>
      <c r="L2" s="5"/>
      <c r="M2" s="5"/>
      <c r="N2" s="5"/>
      <c r="O2" s="5"/>
      <c r="P2" s="5"/>
      <c r="Q2" s="5"/>
      <c r="R2" s="5"/>
      <c r="S2" s="5"/>
    </row>
    <row r="3" ht="15.75" customHeight="1">
      <c r="A3" s="7">
        <f>COUNTA(B2:B38)*1.99</f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ht="15.75" customHeight="1">
      <c r="A4" s="4">
        <v>2.99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ht="15.75" customHeight="1">
      <c r="A5" s="7">
        <f>COUNTA(C2:C41)*2</f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ht="15.75" customHeight="1">
      <c r="A6" s="4">
        <v>3.99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ht="15.75" customHeight="1">
      <c r="A7" s="7">
        <f>COUNTA(D2:D42)*3</f>
        <v>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5.75" customHeight="1">
      <c r="A8" s="4">
        <v>4.99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ht="15.75" customHeight="1">
      <c r="A9" s="7">
        <f>COUNTA(E2:E41)*4</f>
        <v>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ht="15.75" customHeight="1">
      <c r="A10" s="4">
        <v>5.99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15.75" customHeight="1">
      <c r="A11" s="7">
        <f>COUNTA(F2:F41)*5</f>
        <v>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5.75" customHeight="1">
      <c r="A12" s="4">
        <v>6.99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ht="15.75" customHeight="1">
      <c r="A13" s="7">
        <f>COUNTA(G2:G41)*6</f>
        <v>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5.75" customHeight="1">
      <c r="A14" s="4">
        <v>7.99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15.75" customHeight="1">
      <c r="A15" s="7">
        <f>COUNTA(H2:H43)*7</f>
        <v>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ht="15.75" customHeight="1">
      <c r="A16" s="4">
        <v>8.99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ht="15.75" customHeight="1">
      <c r="A17" s="7">
        <f>COUNTA(I2:I45)*8</f>
        <v>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ht="15.75" customHeight="1">
      <c r="A18" s="4">
        <v>10.99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ht="15.75" customHeight="1">
      <c r="A19" s="7">
        <f>COUNTA(J2:J41)*10</f>
        <v>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ht="15.75" customHeight="1">
      <c r="A20" s="4">
        <v>11.99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15.75" customHeight="1">
      <c r="A21" s="7">
        <f>COUNTA(K2:K80)*11</f>
        <v>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ht="15.75" customHeight="1">
      <c r="A22" s="4">
        <v>12.99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ht="15.75" customHeight="1">
      <c r="A23" s="7">
        <f>COUNTA(L2:L70)*12</f>
        <v>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ht="15.75" customHeight="1">
      <c r="A24" s="4">
        <v>13.99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ht="15.75" customHeight="1">
      <c r="A25" s="7">
        <f>COUNTA(M2:M85)*13</f>
        <v>0</v>
      </c>
      <c r="B25" s="5"/>
      <c r="C25" s="5"/>
      <c r="D25" s="5"/>
      <c r="E25" s="5"/>
      <c r="F25" s="5"/>
      <c r="G25" s="5"/>
      <c r="H25" s="8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ht="15.75" customHeight="1">
      <c r="A26" s="4">
        <v>14.99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ht="15.75" customHeight="1">
      <c r="A27" s="7">
        <f>COUNTA(N2:N37)*14</f>
        <v>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ht="15.75" customHeight="1">
      <c r="A28" s="4">
        <v>15.99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ht="15.75" customHeight="1">
      <c r="A29" s="7">
        <f>COUNTA(O2:O41)*15</f>
        <v>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ht="15.75" customHeight="1">
      <c r="A30" s="4">
        <v>16.99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ht="15.75" customHeight="1">
      <c r="A31" s="7">
        <f>COUNTA(Q2:Q41)</f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ht="15.75" customHeight="1">
      <c r="A32" s="4">
        <v>17.99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ht="15.75" customHeight="1">
      <c r="A33" s="7">
        <f>COUNTA(Q2:Q41)*17</f>
        <v>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ht="15.75" customHeight="1">
      <c r="A34" s="4">
        <v>18.99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ht="15.75" customHeight="1">
      <c r="A35" s="7">
        <f>COUNTA(R2:R41)*18</f>
        <v>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15.75" customHeight="1">
      <c r="A36" s="4">
        <v>22.0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15.75" customHeight="1">
      <c r="A37" s="7">
        <f>COUNTA(S2:S41)*22</f>
        <v>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5.75" customHeight="1">
      <c r="A38" s="9" t="s">
        <v>10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5.75" customHeight="1">
      <c r="A39" s="10">
        <f>COUNTA(B2:S43)</f>
        <v>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5.75" customHeight="1">
      <c r="A40" s="11" t="s">
        <v>11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5.75" customHeight="1">
      <c r="A41" s="12">
        <f>SUM(A3,A5,A7,A9,A11,A13,A15,A17,A19,A21,A23,A25,A27,A29,A31,A33,A35,A37)</f>
        <v>0</v>
      </c>
      <c r="B41" s="2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4" t="s">
        <v>12</v>
      </c>
      <c r="B43" s="5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ht="15.75" customHeight="1">
      <c r="A44" s="15" t="s">
        <v>13</v>
      </c>
      <c r="B44" s="7">
        <v>392.0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5" t="s">
        <v>14</v>
      </c>
      <c r="B45" s="7">
        <f>VALUE(A41)</f>
        <v>0</v>
      </c>
    </row>
    <row r="46" ht="15.75" customHeight="1">
      <c r="A46" s="15" t="s">
        <v>15</v>
      </c>
      <c r="B46" s="16"/>
    </row>
    <row r="47" ht="15.75" customHeight="1">
      <c r="A47" s="15" t="s">
        <v>16</v>
      </c>
      <c r="B47" s="17">
        <f>SUM(B44:B46)</f>
        <v>392</v>
      </c>
    </row>
    <row r="48" ht="15.75" customHeight="1">
      <c r="A48" s="18"/>
    </row>
    <row r="49" ht="15.75" customHeight="1">
      <c r="A49" s="1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