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ço dia 09-15" sheetId="1" r:id="rId5"/>
    <sheet state="visible" name="Março dia 16 - 22 " sheetId="2" r:id="rId6"/>
    <sheet state="visible" name="Março dia 23 - 29" sheetId="3" r:id="rId7"/>
    <sheet state="visible" name="Março dia 30 - 05" sheetId="4" r:id="rId8"/>
  </sheets>
  <definedNames/>
  <calcPr/>
</workbook>
</file>

<file path=xl/sharedStrings.xml><?xml version="1.0" encoding="utf-8"?>
<sst xmlns="http://schemas.openxmlformats.org/spreadsheetml/2006/main" count="47" uniqueCount="23">
  <si>
    <r>
      <rPr>
        <rFont val="Arial"/>
        <b/>
        <color theme="1"/>
        <sz val="15.0"/>
      </rPr>
      <t>SOMA</t>
    </r>
    <r>
      <rPr>
        <rFont val="Arial"/>
        <b/>
        <color theme="1"/>
      </rPr>
      <t xml:space="preserve"> </t>
    </r>
  </si>
  <si>
    <t xml:space="preserve">Observações </t>
  </si>
  <si>
    <t>*0855</t>
  </si>
  <si>
    <t>*0913</t>
  </si>
  <si>
    <t>*0485</t>
  </si>
  <si>
    <t>*0865</t>
  </si>
  <si>
    <t>*0608</t>
  </si>
  <si>
    <t>*0793</t>
  </si>
  <si>
    <t>*0343</t>
  </si>
  <si>
    <t>*0926</t>
  </si>
  <si>
    <t>*0905</t>
  </si>
  <si>
    <t>*0132</t>
  </si>
  <si>
    <t>Retirada (jambalaia)</t>
  </si>
  <si>
    <t>ENTREGAS</t>
  </si>
  <si>
    <t>VALOR</t>
  </si>
  <si>
    <t xml:space="preserve">Valor a Receber </t>
  </si>
  <si>
    <t xml:space="preserve">Diárias </t>
  </si>
  <si>
    <t xml:space="preserve">Comissão </t>
  </si>
  <si>
    <t xml:space="preserve">Desconto </t>
  </si>
  <si>
    <t xml:space="preserve">Total </t>
  </si>
  <si>
    <r>
      <rPr>
        <rFont val="Arial"/>
        <b/>
        <color theme="1"/>
        <sz val="15.0"/>
      </rPr>
      <t>SOMA</t>
    </r>
    <r>
      <rPr>
        <rFont val="Arial"/>
        <b/>
        <color theme="1"/>
      </rPr>
      <t xml:space="preserve"> </t>
    </r>
  </si>
  <si>
    <r>
      <rPr>
        <rFont val="Arial"/>
        <b/>
        <color theme="1"/>
        <sz val="15.0"/>
      </rPr>
      <t>SOMA</t>
    </r>
    <r>
      <rPr>
        <rFont val="Arial"/>
        <b/>
        <color theme="1"/>
      </rPr>
      <t xml:space="preserve"> </t>
    </r>
  </si>
  <si>
    <r>
      <rPr>
        <rFont val="Arial"/>
        <b/>
        <color theme="1"/>
        <sz val="15.0"/>
      </rPr>
      <t>SOMA</t>
    </r>
    <r>
      <rPr>
        <rFont val="Arial"/>
        <b/>
        <color theme="1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</si>
</sst>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</font>
    <font>
      <b/>
      <color rgb="FF38761D"/>
      <name val="Arial"/>
      <scheme val="minor"/>
    </font>
    <font>
      <b/>
      <color rgb="FFFF0000"/>
      <name val="Arial"/>
      <scheme val="minor"/>
    </font>
    <font>
      <strike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1" fillId="5" fontId="1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6" fontId="1" numFmtId="0" xfId="0" applyAlignment="1" applyBorder="1" applyFill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1" fillId="7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3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1" max="21" width="22.25"/>
  </cols>
  <sheetData>
    <row r="1">
      <c r="A1" s="1" t="s">
        <v>0</v>
      </c>
      <c r="B1" s="1">
        <v>1.99</v>
      </c>
      <c r="C1" s="1">
        <v>2.99</v>
      </c>
      <c r="D1" s="1">
        <v>3.99</v>
      </c>
      <c r="E1" s="1">
        <v>4.99</v>
      </c>
      <c r="F1" s="1">
        <v>5.99</v>
      </c>
      <c r="G1" s="1">
        <v>6.99</v>
      </c>
      <c r="H1" s="1">
        <v>7.99</v>
      </c>
      <c r="I1" s="1">
        <v>8.99</v>
      </c>
      <c r="J1" s="1">
        <v>10.99</v>
      </c>
      <c r="K1" s="1">
        <v>11.99</v>
      </c>
      <c r="L1" s="1">
        <v>12.99</v>
      </c>
      <c r="M1" s="1">
        <v>13.99</v>
      </c>
      <c r="N1" s="1">
        <v>14.99</v>
      </c>
      <c r="O1" s="1">
        <v>15.99</v>
      </c>
      <c r="P1" s="1">
        <v>16.99</v>
      </c>
      <c r="Q1" s="1">
        <v>17.99</v>
      </c>
      <c r="R1" s="1">
        <v>18.99</v>
      </c>
      <c r="S1" s="1">
        <v>22.0</v>
      </c>
      <c r="T1" s="2"/>
      <c r="U1" s="3" t="s">
        <v>1</v>
      </c>
    </row>
    <row r="2">
      <c r="A2" s="4">
        <v>1.99</v>
      </c>
      <c r="B2" s="5">
        <v>6273.0</v>
      </c>
      <c r="C2" s="5">
        <v>2275.0</v>
      </c>
      <c r="D2" s="5">
        <v>7619.0</v>
      </c>
      <c r="E2" s="5">
        <v>4846.0</v>
      </c>
      <c r="F2" s="5">
        <v>9077.0</v>
      </c>
      <c r="G2" s="6"/>
      <c r="H2" s="5">
        <v>5437.0</v>
      </c>
      <c r="I2" s="7">
        <v>4843.0</v>
      </c>
      <c r="J2" s="7">
        <v>1712.0</v>
      </c>
      <c r="K2" s="8"/>
      <c r="L2" s="6"/>
      <c r="M2" s="8"/>
      <c r="N2" s="8"/>
      <c r="O2" s="9">
        <v>7025.0</v>
      </c>
      <c r="P2" s="8"/>
      <c r="Q2" s="8"/>
      <c r="R2" s="5">
        <v>2242.0</v>
      </c>
      <c r="S2" s="10"/>
    </row>
    <row r="3">
      <c r="A3" s="11">
        <f>COUNTA(B2:B38)*1.99</f>
        <v>73.63</v>
      </c>
      <c r="B3" s="5">
        <v>7938.0</v>
      </c>
      <c r="C3" s="5">
        <v>8120.0</v>
      </c>
      <c r="D3" s="5">
        <v>3919.0</v>
      </c>
      <c r="E3" s="5">
        <v>8841.0</v>
      </c>
      <c r="F3" s="5">
        <v>1996.0</v>
      </c>
      <c r="G3" s="8"/>
      <c r="H3" s="5">
        <v>4649.0</v>
      </c>
      <c r="I3" s="5">
        <v>4032.0</v>
      </c>
      <c r="J3" s="5">
        <v>1172.0</v>
      </c>
      <c r="K3" s="8"/>
      <c r="L3" s="8"/>
      <c r="M3" s="8"/>
      <c r="N3" s="8"/>
      <c r="O3" s="8"/>
      <c r="P3" s="8"/>
      <c r="Q3" s="8"/>
      <c r="R3" s="12">
        <v>7725.0</v>
      </c>
      <c r="S3" s="8"/>
    </row>
    <row r="4">
      <c r="A4" s="4">
        <v>2.99</v>
      </c>
      <c r="B4" s="5">
        <v>4316.0</v>
      </c>
      <c r="C4" s="5">
        <v>4876.0</v>
      </c>
      <c r="D4" s="5">
        <v>2892.0</v>
      </c>
      <c r="E4" s="5">
        <v>8900.0</v>
      </c>
      <c r="F4" s="5">
        <v>5228.0</v>
      </c>
      <c r="G4" s="8"/>
      <c r="H4" s="5">
        <v>9604.0</v>
      </c>
      <c r="I4" s="5">
        <v>5025.0</v>
      </c>
      <c r="J4" s="10">
        <v>3383.0</v>
      </c>
      <c r="K4" s="8"/>
      <c r="L4" s="8"/>
      <c r="M4" s="8"/>
      <c r="N4" s="8"/>
      <c r="O4" s="8"/>
      <c r="P4" s="8"/>
      <c r="Q4" s="8"/>
      <c r="R4" s="10">
        <v>1574.0</v>
      </c>
      <c r="S4" s="8"/>
    </row>
    <row r="5">
      <c r="A5" s="11">
        <f>COUNTA(C2:C41)*2</f>
        <v>54</v>
      </c>
      <c r="B5" s="5">
        <v>4609.0</v>
      </c>
      <c r="C5" s="5">
        <v>2828.0</v>
      </c>
      <c r="D5" s="5">
        <v>9707.0</v>
      </c>
      <c r="E5" s="5">
        <v>6019.0</v>
      </c>
      <c r="F5" s="5">
        <v>8883.0</v>
      </c>
      <c r="G5" s="8"/>
      <c r="H5" s="5">
        <v>4049.0</v>
      </c>
      <c r="I5" s="5">
        <v>1660.0</v>
      </c>
      <c r="J5" s="10">
        <v>3542.0</v>
      </c>
      <c r="K5" s="8"/>
      <c r="L5" s="8"/>
      <c r="M5" s="8"/>
      <c r="N5" s="8"/>
      <c r="O5" s="8"/>
      <c r="P5" s="8"/>
      <c r="Q5" s="8"/>
      <c r="R5" s="8"/>
      <c r="S5" s="8"/>
    </row>
    <row r="6">
      <c r="A6" s="4">
        <v>3.99</v>
      </c>
      <c r="B6" s="5">
        <v>7587.0</v>
      </c>
      <c r="C6" s="5">
        <v>4372.0</v>
      </c>
      <c r="D6" s="5">
        <v>5757.0</v>
      </c>
      <c r="E6" s="5">
        <v>3826.0</v>
      </c>
      <c r="F6" s="5">
        <v>9995.0</v>
      </c>
      <c r="G6" s="8"/>
      <c r="H6" s="5">
        <v>7069.0</v>
      </c>
      <c r="I6" s="5">
        <v>4387.0</v>
      </c>
      <c r="J6" s="10">
        <v>2247.0</v>
      </c>
      <c r="K6" s="8"/>
      <c r="L6" s="8"/>
      <c r="M6" s="8"/>
      <c r="N6" s="8"/>
      <c r="O6" s="8"/>
      <c r="P6" s="8"/>
      <c r="Q6" s="8"/>
      <c r="R6" s="8"/>
      <c r="S6" s="8"/>
    </row>
    <row r="7">
      <c r="A7" s="11">
        <f>COUNTA(D2:D42)*3</f>
        <v>102</v>
      </c>
      <c r="B7" s="5">
        <v>3600.0</v>
      </c>
      <c r="C7" s="5">
        <v>2272.0</v>
      </c>
      <c r="D7" s="5">
        <v>2757.0</v>
      </c>
      <c r="E7" s="5">
        <v>6344.0</v>
      </c>
      <c r="F7" s="5">
        <v>8042.0</v>
      </c>
      <c r="G7" s="8"/>
      <c r="H7" s="5">
        <v>8049.0</v>
      </c>
      <c r="I7" s="5">
        <v>2578.0</v>
      </c>
      <c r="J7" s="8"/>
      <c r="K7" s="8"/>
      <c r="L7" s="8"/>
      <c r="M7" s="8"/>
      <c r="N7" s="8"/>
      <c r="O7" s="8"/>
      <c r="P7" s="8"/>
      <c r="Q7" s="8"/>
      <c r="R7" s="8"/>
      <c r="S7" s="6"/>
    </row>
    <row r="8">
      <c r="A8" s="4">
        <v>4.99</v>
      </c>
      <c r="B8" s="5">
        <v>5741.0</v>
      </c>
      <c r="C8" s="5">
        <v>5497.0</v>
      </c>
      <c r="D8" s="5">
        <v>2250.0</v>
      </c>
      <c r="E8" s="5">
        <v>1270.0</v>
      </c>
      <c r="F8" s="5">
        <v>8815.0</v>
      </c>
      <c r="G8" s="8"/>
      <c r="H8" s="5">
        <v>8519.0</v>
      </c>
      <c r="I8" s="12">
        <v>6743.0</v>
      </c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1">
        <f>COUNTA(E2:E41)*4</f>
        <v>148</v>
      </c>
      <c r="B9" s="5">
        <v>4580.0</v>
      </c>
      <c r="C9" s="5">
        <v>1356.0</v>
      </c>
      <c r="D9" s="5">
        <v>7066.0</v>
      </c>
      <c r="E9" s="5">
        <v>7357.0</v>
      </c>
      <c r="F9" s="5">
        <v>9319.0</v>
      </c>
      <c r="G9" s="8"/>
      <c r="H9" s="5">
        <v>8145.0</v>
      </c>
      <c r="I9" s="12">
        <v>2612.0</v>
      </c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4">
        <v>5.99</v>
      </c>
      <c r="B10" s="10" t="s">
        <v>2</v>
      </c>
      <c r="C10" s="5">
        <v>4195.0</v>
      </c>
      <c r="D10" s="10" t="s">
        <v>3</v>
      </c>
      <c r="E10" s="5">
        <v>6429.0</v>
      </c>
      <c r="F10" s="5">
        <v>2588.0</v>
      </c>
      <c r="G10" s="8"/>
      <c r="H10" s="5">
        <v>2403.0</v>
      </c>
      <c r="I10" s="10">
        <v>4727.0</v>
      </c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11">
        <f>COUNTA(F2:F41)*5</f>
        <v>75</v>
      </c>
      <c r="B11" s="5">
        <v>2987.0</v>
      </c>
      <c r="C11" s="10" t="s">
        <v>4</v>
      </c>
      <c r="D11" s="5">
        <v>4352.0</v>
      </c>
      <c r="E11" s="5">
        <v>3675.0</v>
      </c>
      <c r="F11" s="5">
        <v>9038.0</v>
      </c>
      <c r="G11" s="8"/>
      <c r="H11" s="5">
        <v>8812.0</v>
      </c>
      <c r="I11" s="10">
        <v>4834.0</v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4">
        <v>6.99</v>
      </c>
      <c r="B12" s="5">
        <v>107.0</v>
      </c>
      <c r="C12" s="10" t="s">
        <v>5</v>
      </c>
      <c r="D12" s="5">
        <v>3299.0</v>
      </c>
      <c r="E12" s="5">
        <v>9315.0</v>
      </c>
      <c r="F12" s="5">
        <v>1170.0</v>
      </c>
      <c r="G12" s="8"/>
      <c r="H12" s="10">
        <v>9777.0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1">
        <f>COUNTA(G2:G41)*6</f>
        <v>0</v>
      </c>
      <c r="B13" s="5">
        <v>1191.0</v>
      </c>
      <c r="C13" s="5">
        <v>4146.0</v>
      </c>
      <c r="D13" s="5">
        <v>8206.0</v>
      </c>
      <c r="E13" s="5">
        <v>5901.0</v>
      </c>
      <c r="F13" s="5">
        <v>8760.0</v>
      </c>
      <c r="G13" s="8"/>
      <c r="H13" s="10">
        <v>9557.0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4">
        <v>7.99</v>
      </c>
      <c r="B14" s="5">
        <v>2218.0</v>
      </c>
      <c r="C14" s="5">
        <v>8974.0</v>
      </c>
      <c r="D14" s="5">
        <v>4670.0</v>
      </c>
      <c r="E14" s="5">
        <v>6105.0</v>
      </c>
      <c r="F14" s="10">
        <v>4004.0</v>
      </c>
      <c r="G14" s="8"/>
      <c r="H14" s="10">
        <v>6448.0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>
      <c r="A15" s="11">
        <f>COUNTA(H2:H43)*7</f>
        <v>98</v>
      </c>
      <c r="B15" s="5">
        <v>1679.0</v>
      </c>
      <c r="C15" s="10" t="s">
        <v>6</v>
      </c>
      <c r="D15" s="5">
        <v>2961.0</v>
      </c>
      <c r="E15" s="5">
        <v>6502.0</v>
      </c>
      <c r="F15" s="10">
        <v>8303.0</v>
      </c>
      <c r="G15" s="8"/>
      <c r="H15" s="10">
        <v>6186.0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>
      <c r="A16" s="4">
        <v>8.99</v>
      </c>
      <c r="B16" s="5">
        <v>3450.0</v>
      </c>
      <c r="C16" s="5">
        <v>3446.0</v>
      </c>
      <c r="D16" s="5">
        <v>5454.0</v>
      </c>
      <c r="E16" s="5">
        <v>7505.0</v>
      </c>
      <c r="F16" s="10">
        <v>6139.0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11">
        <f>COUNTA(I2:I45)*8</f>
        <v>80</v>
      </c>
      <c r="B17" s="5">
        <v>1054.0</v>
      </c>
      <c r="C17" s="10" t="s">
        <v>7</v>
      </c>
      <c r="D17" s="5">
        <v>5567.0</v>
      </c>
      <c r="E17" s="5">
        <v>521.0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4">
        <v>10.99</v>
      </c>
      <c r="B18" s="5">
        <v>8098.0</v>
      </c>
      <c r="C18" s="5">
        <v>8738.0</v>
      </c>
      <c r="D18" s="5">
        <v>9867.0</v>
      </c>
      <c r="E18" s="5">
        <v>2224.0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11">
        <f>COUNTA(J2:J41)*10</f>
        <v>50</v>
      </c>
      <c r="B19" s="5">
        <v>9165.0</v>
      </c>
      <c r="C19" s="5">
        <v>4169.0</v>
      </c>
      <c r="D19" s="5">
        <v>2461.0</v>
      </c>
      <c r="E19" s="5">
        <v>8027.0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4">
        <v>11.99</v>
      </c>
      <c r="B20" s="5">
        <v>3834.0</v>
      </c>
      <c r="C20" s="5">
        <v>7471.0</v>
      </c>
      <c r="D20" s="5">
        <v>7999.0</v>
      </c>
      <c r="E20" s="5">
        <v>6896.0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>
      <c r="A21" s="13">
        <f>COUNTA(K2:K80)*11</f>
        <v>0</v>
      </c>
      <c r="B21" s="12">
        <v>3856.0</v>
      </c>
      <c r="C21" s="10">
        <v>2715.0</v>
      </c>
      <c r="D21" s="5">
        <v>5575.0</v>
      </c>
      <c r="E21" s="5">
        <v>9186.0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>
      <c r="A22" s="4">
        <v>12.99</v>
      </c>
      <c r="B22" s="12">
        <v>9274.0</v>
      </c>
      <c r="C22" s="10">
        <v>8843.0</v>
      </c>
      <c r="D22" s="5">
        <v>3125.0</v>
      </c>
      <c r="E22" s="5">
        <v>2061.0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>
      <c r="A23" s="13">
        <f>COUNTA(L2:L70)*12</f>
        <v>0</v>
      </c>
      <c r="B23" s="12">
        <v>110.0</v>
      </c>
      <c r="C23" s="14">
        <v>1375.0</v>
      </c>
      <c r="D23" s="5">
        <v>2066.0</v>
      </c>
      <c r="E23" s="5">
        <v>2426.0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>
      <c r="A24" s="4">
        <v>13.99</v>
      </c>
      <c r="B24" s="12">
        <v>1199.0</v>
      </c>
      <c r="C24" s="14">
        <v>8843.0</v>
      </c>
      <c r="D24" s="5">
        <v>5975.0</v>
      </c>
      <c r="E24" s="5">
        <v>8804.0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>
      <c r="A25" s="13">
        <f>COUNTA(M2:M85)*13</f>
        <v>0</v>
      </c>
      <c r="B25" s="12">
        <v>798.0</v>
      </c>
      <c r="C25" s="14">
        <v>7666.0</v>
      </c>
      <c r="D25" s="5">
        <v>7241.0</v>
      </c>
      <c r="E25" s="5">
        <v>9278.0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>
      <c r="A26" s="4">
        <v>14.99</v>
      </c>
      <c r="B26" s="10" t="s">
        <v>8</v>
      </c>
      <c r="C26" s="14">
        <v>3173.0</v>
      </c>
      <c r="D26" s="5">
        <v>5582.0</v>
      </c>
      <c r="E26" s="5">
        <v>4140.0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>
      <c r="A27" s="13">
        <f>COUNTA(N2:N37)*14</f>
        <v>0</v>
      </c>
      <c r="B27" s="12">
        <v>4015.0</v>
      </c>
      <c r="C27" s="14">
        <v>4267.0</v>
      </c>
      <c r="D27" s="12">
        <v>9005.0</v>
      </c>
      <c r="E27" s="5">
        <v>5063.0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>
      <c r="A28" s="4">
        <v>15.99</v>
      </c>
      <c r="B28" s="12">
        <v>3261.0</v>
      </c>
      <c r="C28" s="14">
        <v>2596.0</v>
      </c>
      <c r="D28" s="12">
        <v>6835.0</v>
      </c>
      <c r="E28" s="5">
        <v>8285.0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>
      <c r="A29" s="13">
        <f>COUNTA(O2:O41)*15</f>
        <v>15</v>
      </c>
      <c r="B29" s="12">
        <v>5441.0</v>
      </c>
      <c r="C29" s="15"/>
      <c r="D29" s="12">
        <v>9633.0</v>
      </c>
      <c r="E29" s="10">
        <v>9434.0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>
      <c r="A30" s="4">
        <v>16.99</v>
      </c>
      <c r="B30" s="12">
        <v>4878.0</v>
      </c>
      <c r="C30" s="15"/>
      <c r="D30" s="10">
        <v>6920.0</v>
      </c>
      <c r="E30" s="10" t="s">
        <v>9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>
      <c r="A31" s="13">
        <f>COUNTA(Q2:Q41)</f>
        <v>0</v>
      </c>
      <c r="B31" s="12">
        <v>2794.0</v>
      </c>
      <c r="C31" s="15"/>
      <c r="D31" s="10" t="s">
        <v>10</v>
      </c>
      <c r="E31" s="10">
        <v>1058.0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>
      <c r="A32" s="4">
        <v>17.99</v>
      </c>
      <c r="B32" s="14">
        <v>9581.0</v>
      </c>
      <c r="C32" s="15"/>
      <c r="D32" s="10">
        <v>5734.0</v>
      </c>
      <c r="E32" s="10">
        <v>1015.0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>
      <c r="A33" s="13">
        <f>COUNTA(Q2:Q41)*17</f>
        <v>0</v>
      </c>
      <c r="B33" s="14">
        <v>3936.0</v>
      </c>
      <c r="C33" s="15"/>
      <c r="D33" s="10" t="s">
        <v>11</v>
      </c>
      <c r="E33" s="10">
        <v>9825.0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>
      <c r="A34" s="4">
        <v>18.99</v>
      </c>
      <c r="B34" s="14">
        <v>7031.0</v>
      </c>
      <c r="C34" s="15"/>
      <c r="D34" s="10">
        <v>1552.0</v>
      </c>
      <c r="E34" s="10">
        <v>3469.0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>
      <c r="A35" s="13">
        <f>COUNTA(R2:R41)*18</f>
        <v>54</v>
      </c>
      <c r="B35" s="14">
        <v>6585.0</v>
      </c>
      <c r="C35" s="15"/>
      <c r="D35" s="10">
        <v>9520.0</v>
      </c>
      <c r="E35" s="10">
        <v>2223.0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>
      <c r="A36" s="4">
        <v>22.0</v>
      </c>
      <c r="B36" s="14">
        <v>1712.0</v>
      </c>
      <c r="C36" s="14"/>
      <c r="D36" s="8"/>
      <c r="E36" s="10">
        <v>4956.0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U36" s="16" t="s">
        <v>12</v>
      </c>
    </row>
    <row r="37">
      <c r="A37" s="13">
        <f>COUNTA(S2:S41)*22</f>
        <v>0</v>
      </c>
      <c r="B37" s="14">
        <v>6012.0</v>
      </c>
      <c r="C37" s="15"/>
      <c r="D37" s="8"/>
      <c r="E37" s="10">
        <v>2223.0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>
      <c r="A38" s="17" t="s">
        <v>13</v>
      </c>
      <c r="B38" s="14">
        <v>5589.0</v>
      </c>
      <c r="C38" s="15"/>
      <c r="D38" s="8"/>
      <c r="E38" s="10">
        <v>3469.0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>
      <c r="A39" s="18">
        <f>COUNTA(B2:S43)</f>
        <v>183</v>
      </c>
      <c r="B39" s="15"/>
      <c r="C39" s="15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>
      <c r="A40" s="19" t="s">
        <v>14</v>
      </c>
      <c r="B40" s="15"/>
      <c r="C40" s="15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>
      <c r="A41" s="20">
        <f>SUM(A3,A5,A7,A9,A11,A13,A15,A17,A19,A21,A23,A25,A27,A29,A31,A33,A35,A37)</f>
        <v>749.63</v>
      </c>
      <c r="B41" s="2"/>
      <c r="C41" s="15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>
      <c r="A42" s="21"/>
      <c r="B42" s="21"/>
      <c r="C42" s="21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>
      <c r="A43" s="23" t="s">
        <v>15</v>
      </c>
      <c r="B43" s="15"/>
      <c r="C43" s="21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>
      <c r="A44" s="24" t="s">
        <v>16</v>
      </c>
      <c r="B44" s="11">
        <v>392.0</v>
      </c>
      <c r="C44" s="21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>
      <c r="A45" s="24" t="s">
        <v>17</v>
      </c>
      <c r="B45" s="13">
        <f>VALUE(A41)</f>
        <v>749.63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>
      <c r="A46" s="24" t="s">
        <v>18</v>
      </c>
      <c r="B46" s="25"/>
    </row>
    <row r="47">
      <c r="A47" s="24" t="s">
        <v>19</v>
      </c>
      <c r="B47" s="26">
        <f>SUM(B44:B46)</f>
        <v>1141.63</v>
      </c>
    </row>
    <row r="48">
      <c r="A48" s="27"/>
    </row>
    <row r="49">
      <c r="A49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1" max="21" width="22.25"/>
  </cols>
  <sheetData>
    <row r="1">
      <c r="A1" s="1" t="s">
        <v>20</v>
      </c>
      <c r="B1" s="1">
        <v>1.99</v>
      </c>
      <c r="C1" s="1">
        <v>2.99</v>
      </c>
      <c r="D1" s="1">
        <v>3.99</v>
      </c>
      <c r="E1" s="1">
        <v>4.99</v>
      </c>
      <c r="F1" s="1">
        <v>5.99</v>
      </c>
      <c r="G1" s="1">
        <v>6.99</v>
      </c>
      <c r="H1" s="1">
        <v>7.99</v>
      </c>
      <c r="I1" s="1">
        <v>8.99</v>
      </c>
      <c r="J1" s="1">
        <v>10.99</v>
      </c>
      <c r="K1" s="1">
        <v>11.99</v>
      </c>
      <c r="L1" s="1">
        <v>12.99</v>
      </c>
      <c r="M1" s="1">
        <v>13.99</v>
      </c>
      <c r="N1" s="1">
        <v>14.99</v>
      </c>
      <c r="O1" s="1">
        <v>15.99</v>
      </c>
      <c r="P1" s="1">
        <v>16.99</v>
      </c>
      <c r="Q1" s="1">
        <v>17.99</v>
      </c>
      <c r="R1" s="1">
        <v>18.99</v>
      </c>
      <c r="S1" s="1">
        <v>22.0</v>
      </c>
      <c r="T1" s="2"/>
      <c r="U1" s="3" t="s">
        <v>1</v>
      </c>
    </row>
    <row r="2">
      <c r="A2" s="4">
        <v>1.99</v>
      </c>
      <c r="B2" s="14"/>
      <c r="C2" s="14"/>
      <c r="D2" s="14"/>
      <c r="E2" s="14"/>
      <c r="F2" s="14"/>
      <c r="G2" s="14"/>
      <c r="H2" s="14"/>
      <c r="I2" s="28"/>
      <c r="J2" s="28"/>
      <c r="K2" s="15"/>
      <c r="L2" s="14"/>
      <c r="M2" s="15"/>
      <c r="N2" s="15"/>
      <c r="O2" s="15"/>
      <c r="P2" s="15"/>
      <c r="Q2" s="15"/>
      <c r="R2" s="14"/>
      <c r="S2" s="15"/>
    </row>
    <row r="3">
      <c r="A3" s="11">
        <f>COUNTA(B2:B38)*1.99</f>
        <v>0</v>
      </c>
      <c r="B3" s="14"/>
      <c r="C3" s="14"/>
      <c r="D3" s="14"/>
      <c r="E3" s="14"/>
      <c r="F3" s="14"/>
      <c r="G3" s="15"/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</row>
    <row r="4">
      <c r="A4" s="4">
        <v>2.99</v>
      </c>
      <c r="B4" s="14"/>
      <c r="C4" s="14"/>
      <c r="D4" s="14"/>
      <c r="E4" s="14"/>
      <c r="F4" s="14"/>
      <c r="G4" s="15"/>
      <c r="H4" s="14"/>
      <c r="I4" s="14"/>
      <c r="J4" s="14"/>
      <c r="K4" s="15"/>
      <c r="L4" s="15"/>
      <c r="M4" s="15"/>
      <c r="N4" s="15"/>
      <c r="O4" s="15"/>
      <c r="P4" s="15"/>
      <c r="Q4" s="15"/>
      <c r="R4" s="15"/>
      <c r="S4" s="15"/>
    </row>
    <row r="5">
      <c r="A5" s="11">
        <f>COUNTA(C2:C41)*2</f>
        <v>0</v>
      </c>
      <c r="B5" s="14"/>
      <c r="C5" s="14"/>
      <c r="D5" s="14"/>
      <c r="E5" s="14"/>
      <c r="F5" s="14"/>
      <c r="G5" s="15"/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</row>
    <row r="6">
      <c r="A6" s="4">
        <v>3.99</v>
      </c>
      <c r="B6" s="14"/>
      <c r="C6" s="14"/>
      <c r="D6" s="14"/>
      <c r="E6" s="14"/>
      <c r="F6" s="14"/>
      <c r="G6" s="15"/>
      <c r="H6" s="14"/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</row>
    <row r="7">
      <c r="A7" s="11">
        <f>COUNTA(D2:D42)*3</f>
        <v>0</v>
      </c>
      <c r="B7" s="14"/>
      <c r="C7" s="14"/>
      <c r="D7" s="14"/>
      <c r="E7" s="14"/>
      <c r="F7" s="14"/>
      <c r="G7" s="15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4"/>
    </row>
    <row r="8">
      <c r="A8" s="4">
        <v>4.99</v>
      </c>
      <c r="B8" s="14"/>
      <c r="C8" s="14"/>
      <c r="D8" s="14"/>
      <c r="E8" s="14"/>
      <c r="F8" s="14"/>
      <c r="G8" s="15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>
      <c r="A9" s="11">
        <f>COUNTA(E2:E41)*4</f>
        <v>0</v>
      </c>
      <c r="B9" s="14"/>
      <c r="C9" s="14"/>
      <c r="D9" s="14"/>
      <c r="E9" s="14"/>
      <c r="F9" s="14"/>
      <c r="G9" s="15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>
      <c r="A10" s="4">
        <v>5.99</v>
      </c>
      <c r="B10" s="14"/>
      <c r="C10" s="14"/>
      <c r="D10" s="14"/>
      <c r="E10" s="14"/>
      <c r="F10" s="14"/>
      <c r="G10" s="15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>
      <c r="A11" s="11">
        <f>COUNTA(F2:F41)*5</f>
        <v>0</v>
      </c>
      <c r="B11" s="14"/>
      <c r="C11" s="14"/>
      <c r="D11" s="14"/>
      <c r="E11" s="14"/>
      <c r="F11" s="14"/>
      <c r="G11" s="15"/>
      <c r="H11" s="1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>
      <c r="A12" s="4">
        <v>6.99</v>
      </c>
      <c r="B12" s="14"/>
      <c r="C12" s="14"/>
      <c r="D12" s="14"/>
      <c r="E12" s="14"/>
      <c r="F12" s="1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>
      <c r="A13" s="11">
        <f>COUNTA(G2:G41)*6</f>
        <v>0</v>
      </c>
      <c r="B13" s="14"/>
      <c r="C13" s="14"/>
      <c r="D13" s="14"/>
      <c r="E13" s="14"/>
      <c r="F13" s="1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>
      <c r="A14" s="4">
        <v>7.99</v>
      </c>
      <c r="B14" s="14"/>
      <c r="C14" s="14"/>
      <c r="D14" s="14"/>
      <c r="E14" s="14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>
      <c r="A15" s="11">
        <f>COUNTA(H2:H43)*7</f>
        <v>0</v>
      </c>
      <c r="B15" s="14"/>
      <c r="C15" s="14"/>
      <c r="D15" s="14"/>
      <c r="E15" s="14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>
      <c r="A16" s="4">
        <v>8.99</v>
      </c>
      <c r="B16" s="14"/>
      <c r="C16" s="14"/>
      <c r="D16" s="14"/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>
      <c r="A17" s="11">
        <f>COUNTA(I2:I45)*8</f>
        <v>0</v>
      </c>
      <c r="B17" s="14"/>
      <c r="C17" s="14"/>
      <c r="D17" s="14"/>
      <c r="E17" s="14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>
      <c r="A18" s="4">
        <v>10.99</v>
      </c>
      <c r="B18" s="14"/>
      <c r="C18" s="14"/>
      <c r="D18" s="14"/>
      <c r="E18" s="14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>
      <c r="A19" s="11">
        <f>COUNTA(J2:J41)*10</f>
        <v>0</v>
      </c>
      <c r="B19" s="14"/>
      <c r="C19" s="14"/>
      <c r="D19" s="14"/>
      <c r="E19" s="14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>
      <c r="A20" s="4">
        <v>11.99</v>
      </c>
      <c r="B20" s="14"/>
      <c r="C20" s="14"/>
      <c r="D20" s="14"/>
      <c r="E20" s="14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>
      <c r="A21" s="13">
        <f>COUNTA(K2:K80)*11</f>
        <v>0</v>
      </c>
      <c r="B21" s="15"/>
      <c r="C21" s="14"/>
      <c r="D21" s="14"/>
      <c r="E21" s="1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>
      <c r="A22" s="4">
        <v>12.99</v>
      </c>
      <c r="B22" s="15"/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>
      <c r="A23" s="13">
        <f>COUNTA(L2:L70)*12</f>
        <v>0</v>
      </c>
      <c r="B23" s="15"/>
      <c r="C23" s="14"/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>
      <c r="A24" s="4">
        <v>13.99</v>
      </c>
      <c r="B24" s="15"/>
      <c r="C24" s="14"/>
      <c r="D24" s="14"/>
      <c r="E24" s="1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>
      <c r="A25" s="13">
        <f>COUNTA(M2:M85)*13</f>
        <v>0</v>
      </c>
      <c r="B25" s="15"/>
      <c r="C25" s="14"/>
      <c r="D25" s="14"/>
      <c r="E25" s="14"/>
      <c r="F25" s="15"/>
      <c r="G25" s="15"/>
      <c r="H25" s="29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>
      <c r="A26" s="4">
        <v>14.99</v>
      </c>
      <c r="B26" s="15"/>
      <c r="C26" s="14"/>
      <c r="D26" s="14"/>
      <c r="E26" s="1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>
      <c r="A27" s="13">
        <f>COUNTA(N2:N37)*14</f>
        <v>0</v>
      </c>
      <c r="B27" s="15"/>
      <c r="C27" s="15"/>
      <c r="D27" s="15"/>
      <c r="E27" s="1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>
      <c r="A28" s="4">
        <v>15.99</v>
      </c>
      <c r="B28" s="15"/>
      <c r="C28" s="15"/>
      <c r="D28" s="15"/>
      <c r="E28" s="1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>
      <c r="A29" s="13">
        <f>COUNTA(O2:O41)*15</f>
        <v>0</v>
      </c>
      <c r="B29" s="15"/>
      <c r="C29" s="15"/>
      <c r="D29" s="15"/>
      <c r="E29" s="1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>
      <c r="A30" s="4">
        <v>16.99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>
      <c r="A31" s="13">
        <f>COUNTA(Q2:Q41)</f>
        <v>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>
      <c r="A32" s="4">
        <v>17.99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>
      <c r="A33" s="13">
        <f>COUNTA(Q2:Q41)*17</f>
        <v>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>
      <c r="A34" s="4">
        <v>18.99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>
      <c r="A35" s="13">
        <f>COUNTA(R2:R41)*18</f>
        <v>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>
      <c r="A36" s="4">
        <v>22.0</v>
      </c>
      <c r="B36" s="14"/>
      <c r="C36" s="14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>
      <c r="A37" s="13">
        <f>COUNTA(S2:S41)*22</f>
        <v>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>
      <c r="A38" s="17" t="s">
        <v>13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>
      <c r="A39" s="18">
        <f>COUNTA(B2:S43)</f>
        <v>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>
      <c r="A40" s="19" t="s">
        <v>14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>
      <c r="A41" s="20">
        <f>SUM(A3,A5,A7,A9,A11,A13,A15,A17,A19,A21,A23,A25,A27,A29,A31,A33,A35,A37)</f>
        <v>0</v>
      </c>
      <c r="B41" s="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>
      <c r="A43" s="23" t="s">
        <v>15</v>
      </c>
      <c r="B43" s="15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>
      <c r="A44" s="24" t="s">
        <v>16</v>
      </c>
      <c r="B44" s="11">
        <v>392.0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>
      <c r="A45" s="24" t="s">
        <v>17</v>
      </c>
      <c r="B45" s="13">
        <f>VALUE(A41)</f>
        <v>0</v>
      </c>
    </row>
    <row r="46">
      <c r="A46" s="24" t="s">
        <v>18</v>
      </c>
      <c r="B46" s="25"/>
    </row>
    <row r="47">
      <c r="A47" s="24" t="s">
        <v>19</v>
      </c>
      <c r="B47" s="26">
        <f>SUM(B44:B46)</f>
        <v>392</v>
      </c>
    </row>
    <row r="48">
      <c r="A48" s="27"/>
    </row>
    <row r="49">
      <c r="A49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1" max="21" width="22.25"/>
  </cols>
  <sheetData>
    <row r="1">
      <c r="A1" s="1" t="s">
        <v>21</v>
      </c>
      <c r="B1" s="1">
        <v>1.99</v>
      </c>
      <c r="C1" s="1">
        <v>2.99</v>
      </c>
      <c r="D1" s="1">
        <v>3.99</v>
      </c>
      <c r="E1" s="1">
        <v>4.99</v>
      </c>
      <c r="F1" s="1">
        <v>5.99</v>
      </c>
      <c r="G1" s="1">
        <v>6.99</v>
      </c>
      <c r="H1" s="1">
        <v>7.99</v>
      </c>
      <c r="I1" s="1">
        <v>8.99</v>
      </c>
      <c r="J1" s="1">
        <v>10.99</v>
      </c>
      <c r="K1" s="1">
        <v>11.99</v>
      </c>
      <c r="L1" s="1">
        <v>12.99</v>
      </c>
      <c r="M1" s="1">
        <v>13.99</v>
      </c>
      <c r="N1" s="1">
        <v>14.99</v>
      </c>
      <c r="O1" s="1">
        <v>15.99</v>
      </c>
      <c r="P1" s="1">
        <v>16.99</v>
      </c>
      <c r="Q1" s="1">
        <v>17.99</v>
      </c>
      <c r="R1" s="1">
        <v>18.99</v>
      </c>
      <c r="S1" s="1">
        <v>22.0</v>
      </c>
      <c r="T1" s="2"/>
      <c r="U1" s="3" t="s">
        <v>1</v>
      </c>
    </row>
    <row r="2">
      <c r="A2" s="4">
        <v>1.99</v>
      </c>
      <c r="B2" s="14"/>
      <c r="C2" s="14"/>
      <c r="D2" s="14"/>
      <c r="E2" s="14"/>
      <c r="F2" s="14"/>
      <c r="G2" s="14"/>
      <c r="H2" s="14"/>
      <c r="I2" s="28"/>
      <c r="J2" s="28"/>
      <c r="K2" s="15"/>
      <c r="L2" s="14"/>
      <c r="M2" s="15"/>
      <c r="N2" s="15"/>
      <c r="O2" s="15"/>
      <c r="P2" s="15"/>
      <c r="Q2" s="15"/>
      <c r="R2" s="14"/>
      <c r="S2" s="15"/>
    </row>
    <row r="3">
      <c r="A3" s="11">
        <f>COUNTA(B2:B38)*1.99</f>
        <v>0</v>
      </c>
      <c r="B3" s="14"/>
      <c r="C3" s="14"/>
      <c r="D3" s="14"/>
      <c r="E3" s="14"/>
      <c r="F3" s="14"/>
      <c r="G3" s="15"/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</row>
    <row r="4">
      <c r="A4" s="4">
        <v>2.99</v>
      </c>
      <c r="B4" s="14"/>
      <c r="C4" s="14"/>
      <c r="D4" s="14"/>
      <c r="E4" s="14"/>
      <c r="F4" s="14"/>
      <c r="G4" s="15"/>
      <c r="H4" s="14"/>
      <c r="I4" s="14"/>
      <c r="J4" s="14"/>
      <c r="K4" s="15"/>
      <c r="L4" s="15"/>
      <c r="M4" s="15"/>
      <c r="N4" s="15"/>
      <c r="O4" s="15"/>
      <c r="P4" s="15"/>
      <c r="Q4" s="15"/>
      <c r="R4" s="15"/>
      <c r="S4" s="15"/>
    </row>
    <row r="5">
      <c r="A5" s="11">
        <f>COUNTA(C2:C41)*2</f>
        <v>0</v>
      </c>
      <c r="B5" s="14"/>
      <c r="C5" s="14"/>
      <c r="D5" s="14"/>
      <c r="E5" s="14"/>
      <c r="F5" s="14"/>
      <c r="G5" s="15"/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</row>
    <row r="6">
      <c r="A6" s="4">
        <v>3.99</v>
      </c>
      <c r="B6" s="14"/>
      <c r="C6" s="14"/>
      <c r="D6" s="14"/>
      <c r="E6" s="14"/>
      <c r="F6" s="14"/>
      <c r="G6" s="15"/>
      <c r="H6" s="14"/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</row>
    <row r="7">
      <c r="A7" s="11">
        <f>COUNTA(D2:D42)*3</f>
        <v>0</v>
      </c>
      <c r="B7" s="14"/>
      <c r="C7" s="14"/>
      <c r="D7" s="14"/>
      <c r="E7" s="14"/>
      <c r="F7" s="14"/>
      <c r="G7" s="15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4"/>
    </row>
    <row r="8">
      <c r="A8" s="4">
        <v>4.99</v>
      </c>
      <c r="B8" s="14"/>
      <c r="C8" s="14"/>
      <c r="D8" s="14"/>
      <c r="E8" s="14"/>
      <c r="F8" s="14"/>
      <c r="G8" s="15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>
      <c r="A9" s="11">
        <f>COUNTA(E2:E41)*4</f>
        <v>0</v>
      </c>
      <c r="B9" s="14"/>
      <c r="C9" s="14"/>
      <c r="D9" s="14"/>
      <c r="E9" s="14"/>
      <c r="F9" s="14"/>
      <c r="G9" s="15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>
      <c r="A10" s="4">
        <v>5.99</v>
      </c>
      <c r="B10" s="14"/>
      <c r="C10" s="14"/>
      <c r="D10" s="14"/>
      <c r="E10" s="14"/>
      <c r="F10" s="14"/>
      <c r="G10" s="15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>
      <c r="A11" s="11">
        <f>COUNTA(F2:F41)*5</f>
        <v>0</v>
      </c>
      <c r="B11" s="14"/>
      <c r="C11" s="14"/>
      <c r="D11" s="14"/>
      <c r="E11" s="14"/>
      <c r="F11" s="14"/>
      <c r="G11" s="15"/>
      <c r="H11" s="1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>
      <c r="A12" s="4">
        <v>6.99</v>
      </c>
      <c r="B12" s="14"/>
      <c r="C12" s="14"/>
      <c r="D12" s="14"/>
      <c r="E12" s="14"/>
      <c r="F12" s="1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>
      <c r="A13" s="11">
        <f>COUNTA(G2:G41)*6</f>
        <v>0</v>
      </c>
      <c r="B13" s="14"/>
      <c r="C13" s="14"/>
      <c r="D13" s="14"/>
      <c r="E13" s="14"/>
      <c r="F13" s="1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>
      <c r="A14" s="4">
        <v>7.99</v>
      </c>
      <c r="B14" s="14"/>
      <c r="C14" s="14"/>
      <c r="D14" s="14"/>
      <c r="E14" s="14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>
      <c r="A15" s="11">
        <f>COUNTA(H2:H43)*7</f>
        <v>0</v>
      </c>
      <c r="B15" s="14"/>
      <c r="C15" s="14"/>
      <c r="D15" s="14"/>
      <c r="E15" s="14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>
      <c r="A16" s="4">
        <v>8.99</v>
      </c>
      <c r="B16" s="14"/>
      <c r="C16" s="14"/>
      <c r="D16" s="14"/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>
      <c r="A17" s="11">
        <f>COUNTA(I2:I45)*8</f>
        <v>0</v>
      </c>
      <c r="B17" s="14"/>
      <c r="C17" s="14"/>
      <c r="D17" s="14"/>
      <c r="E17" s="14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>
      <c r="A18" s="4">
        <v>10.99</v>
      </c>
      <c r="B18" s="14"/>
      <c r="C18" s="14"/>
      <c r="D18" s="14"/>
      <c r="E18" s="14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>
      <c r="A19" s="11">
        <f>COUNTA(J2:J41)*10</f>
        <v>0</v>
      </c>
      <c r="B19" s="14"/>
      <c r="C19" s="14"/>
      <c r="D19" s="14"/>
      <c r="E19" s="14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>
      <c r="A20" s="4">
        <v>11.99</v>
      </c>
      <c r="B20" s="14"/>
      <c r="C20" s="14"/>
      <c r="D20" s="14"/>
      <c r="E20" s="14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>
      <c r="A21" s="13">
        <f>COUNTA(K2:K80)*11</f>
        <v>0</v>
      </c>
      <c r="B21" s="15"/>
      <c r="C21" s="14"/>
      <c r="D21" s="14"/>
      <c r="E21" s="1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>
      <c r="A22" s="4">
        <v>12.99</v>
      </c>
      <c r="B22" s="15"/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>
      <c r="A23" s="13">
        <f>COUNTA(L2:L70)*12</f>
        <v>0</v>
      </c>
      <c r="B23" s="15"/>
      <c r="C23" s="14"/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>
      <c r="A24" s="4">
        <v>13.99</v>
      </c>
      <c r="B24" s="15"/>
      <c r="C24" s="14"/>
      <c r="D24" s="14"/>
      <c r="E24" s="1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>
      <c r="A25" s="13">
        <f>COUNTA(M2:M85)*13</f>
        <v>0</v>
      </c>
      <c r="B25" s="15"/>
      <c r="C25" s="14"/>
      <c r="D25" s="14"/>
      <c r="E25" s="14"/>
      <c r="F25" s="15"/>
      <c r="G25" s="15"/>
      <c r="H25" s="29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>
      <c r="A26" s="4">
        <v>14.99</v>
      </c>
      <c r="B26" s="15"/>
      <c r="C26" s="14"/>
      <c r="D26" s="14"/>
      <c r="E26" s="1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>
      <c r="A27" s="13">
        <f>COUNTA(N2:N37)*14</f>
        <v>0</v>
      </c>
      <c r="B27" s="15"/>
      <c r="C27" s="15"/>
      <c r="D27" s="15"/>
      <c r="E27" s="1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>
      <c r="A28" s="4">
        <v>15.99</v>
      </c>
      <c r="B28" s="15"/>
      <c r="C28" s="15"/>
      <c r="D28" s="15"/>
      <c r="E28" s="1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>
      <c r="A29" s="13">
        <f>COUNTA(O2:O41)*15</f>
        <v>0</v>
      </c>
      <c r="B29" s="15"/>
      <c r="C29" s="15"/>
      <c r="D29" s="15"/>
      <c r="E29" s="1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>
      <c r="A30" s="4">
        <v>16.99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>
      <c r="A31" s="13">
        <f>COUNTA(Q2:Q41)</f>
        <v>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>
      <c r="A32" s="4">
        <v>17.99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>
      <c r="A33" s="13">
        <f>COUNTA(Q2:Q41)*17</f>
        <v>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>
      <c r="A34" s="4">
        <v>18.99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>
      <c r="A35" s="13">
        <f>COUNTA(R2:R41)*18</f>
        <v>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>
      <c r="A36" s="4">
        <v>22.0</v>
      </c>
      <c r="B36" s="14"/>
      <c r="C36" s="14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>
      <c r="A37" s="13">
        <f>COUNTA(S2:S41)*22</f>
        <v>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>
      <c r="A38" s="17" t="s">
        <v>13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>
      <c r="A39" s="18">
        <f>COUNTA(B2:S43)</f>
        <v>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>
      <c r="A40" s="19" t="s">
        <v>14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>
      <c r="A41" s="20">
        <f>SUM(A3,A5,A7,A9,A11,A13,A15,A17,A19,A21,A23,A25,A27,A29,A31,A33,A35,A37)</f>
        <v>0</v>
      </c>
      <c r="B41" s="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>
      <c r="A43" s="23" t="s">
        <v>15</v>
      </c>
      <c r="B43" s="15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>
      <c r="A44" s="24" t="s">
        <v>16</v>
      </c>
      <c r="B44" s="11">
        <v>392.0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>
      <c r="A45" s="24" t="s">
        <v>17</v>
      </c>
      <c r="B45" s="13">
        <f>VALUE(A41)</f>
        <v>0</v>
      </c>
    </row>
    <row r="46">
      <c r="A46" s="24" t="s">
        <v>18</v>
      </c>
      <c r="B46" s="25"/>
    </row>
    <row r="47">
      <c r="A47" s="24" t="s">
        <v>19</v>
      </c>
      <c r="B47" s="26">
        <f>SUM(B44:B46)</f>
        <v>392</v>
      </c>
    </row>
    <row r="48">
      <c r="A48" s="27"/>
    </row>
    <row r="49">
      <c r="A49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1" max="21" width="22.25"/>
  </cols>
  <sheetData>
    <row r="1">
      <c r="A1" s="1" t="s">
        <v>22</v>
      </c>
      <c r="B1" s="1">
        <v>1.99</v>
      </c>
      <c r="C1" s="1">
        <v>2.99</v>
      </c>
      <c r="D1" s="1">
        <v>3.99</v>
      </c>
      <c r="E1" s="1">
        <v>4.99</v>
      </c>
      <c r="F1" s="1">
        <v>5.99</v>
      </c>
      <c r="G1" s="1">
        <v>6.99</v>
      </c>
      <c r="H1" s="1">
        <v>7.99</v>
      </c>
      <c r="I1" s="1">
        <v>8.99</v>
      </c>
      <c r="J1" s="1">
        <v>10.99</v>
      </c>
      <c r="K1" s="1">
        <v>11.99</v>
      </c>
      <c r="L1" s="1">
        <v>12.99</v>
      </c>
      <c r="M1" s="1">
        <v>13.99</v>
      </c>
      <c r="N1" s="1">
        <v>14.99</v>
      </c>
      <c r="O1" s="1">
        <v>15.99</v>
      </c>
      <c r="P1" s="1">
        <v>16.99</v>
      </c>
      <c r="Q1" s="1">
        <v>17.99</v>
      </c>
      <c r="R1" s="1">
        <v>18.99</v>
      </c>
      <c r="S1" s="1">
        <v>22.0</v>
      </c>
      <c r="T1" s="2"/>
      <c r="U1" s="3" t="s">
        <v>1</v>
      </c>
    </row>
    <row r="2">
      <c r="A2" s="4">
        <v>1.99</v>
      </c>
      <c r="B2" s="14"/>
      <c r="C2" s="14"/>
      <c r="D2" s="14"/>
      <c r="E2" s="14"/>
      <c r="F2" s="14"/>
      <c r="G2" s="14"/>
      <c r="H2" s="14"/>
      <c r="I2" s="28"/>
      <c r="J2" s="28"/>
      <c r="K2" s="15"/>
      <c r="L2" s="14"/>
      <c r="M2" s="15"/>
      <c r="N2" s="15"/>
      <c r="O2" s="15"/>
      <c r="P2" s="15"/>
      <c r="Q2" s="15"/>
      <c r="R2" s="14"/>
      <c r="S2" s="15"/>
    </row>
    <row r="3">
      <c r="A3" s="11">
        <f>COUNTA(B2:B38)*1.99</f>
        <v>0</v>
      </c>
      <c r="B3" s="14"/>
      <c r="C3" s="14"/>
      <c r="D3" s="14"/>
      <c r="E3" s="14"/>
      <c r="F3" s="14"/>
      <c r="G3" s="15"/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</row>
    <row r="4">
      <c r="A4" s="4">
        <v>2.99</v>
      </c>
      <c r="B4" s="14"/>
      <c r="C4" s="14"/>
      <c r="D4" s="14"/>
      <c r="E4" s="14"/>
      <c r="F4" s="14"/>
      <c r="G4" s="15"/>
      <c r="H4" s="14"/>
      <c r="I4" s="14"/>
      <c r="J4" s="14"/>
      <c r="K4" s="15"/>
      <c r="L4" s="15"/>
      <c r="M4" s="15"/>
      <c r="N4" s="15"/>
      <c r="O4" s="15"/>
      <c r="P4" s="15"/>
      <c r="Q4" s="15"/>
      <c r="R4" s="15"/>
      <c r="S4" s="15"/>
    </row>
    <row r="5">
      <c r="A5" s="11">
        <f>COUNTA(C2:C41)*2</f>
        <v>0</v>
      </c>
      <c r="B5" s="14"/>
      <c r="C5" s="14"/>
      <c r="D5" s="14"/>
      <c r="E5" s="14"/>
      <c r="F5" s="14"/>
      <c r="G5" s="15"/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</row>
    <row r="6">
      <c r="A6" s="4">
        <v>3.99</v>
      </c>
      <c r="B6" s="14"/>
      <c r="C6" s="14"/>
      <c r="D6" s="14"/>
      <c r="E6" s="14"/>
      <c r="F6" s="14"/>
      <c r="G6" s="15"/>
      <c r="H6" s="14"/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</row>
    <row r="7">
      <c r="A7" s="11">
        <f>COUNTA(D2:D42)*3</f>
        <v>0</v>
      </c>
      <c r="B7" s="14"/>
      <c r="C7" s="14"/>
      <c r="D7" s="14"/>
      <c r="E7" s="14"/>
      <c r="F7" s="14"/>
      <c r="G7" s="15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4"/>
    </row>
    <row r="8">
      <c r="A8" s="4">
        <v>4.99</v>
      </c>
      <c r="B8" s="14"/>
      <c r="C8" s="14"/>
      <c r="D8" s="14"/>
      <c r="E8" s="14"/>
      <c r="F8" s="14"/>
      <c r="G8" s="15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>
      <c r="A9" s="11">
        <f>COUNTA(E2:E41)*4</f>
        <v>0</v>
      </c>
      <c r="B9" s="14"/>
      <c r="C9" s="14"/>
      <c r="D9" s="14"/>
      <c r="E9" s="14"/>
      <c r="F9" s="14"/>
      <c r="G9" s="15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>
      <c r="A10" s="4">
        <v>5.99</v>
      </c>
      <c r="B10" s="14"/>
      <c r="C10" s="14"/>
      <c r="D10" s="14"/>
      <c r="E10" s="14"/>
      <c r="F10" s="14"/>
      <c r="G10" s="15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>
      <c r="A11" s="11">
        <f>COUNTA(F2:F41)*5</f>
        <v>0</v>
      </c>
      <c r="B11" s="14"/>
      <c r="C11" s="14"/>
      <c r="D11" s="14"/>
      <c r="E11" s="14"/>
      <c r="F11" s="14"/>
      <c r="G11" s="15"/>
      <c r="H11" s="1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>
      <c r="A12" s="4">
        <v>6.99</v>
      </c>
      <c r="B12" s="14"/>
      <c r="C12" s="14"/>
      <c r="D12" s="14"/>
      <c r="E12" s="14"/>
      <c r="F12" s="1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>
      <c r="A13" s="11">
        <f>COUNTA(G2:G41)*6</f>
        <v>0</v>
      </c>
      <c r="B13" s="14"/>
      <c r="C13" s="14"/>
      <c r="D13" s="14"/>
      <c r="E13" s="14"/>
      <c r="F13" s="1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>
      <c r="A14" s="4">
        <v>7.99</v>
      </c>
      <c r="B14" s="14"/>
      <c r="C14" s="14"/>
      <c r="D14" s="14"/>
      <c r="E14" s="14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>
      <c r="A15" s="11">
        <f>COUNTA(H2:H43)*7</f>
        <v>0</v>
      </c>
      <c r="B15" s="14"/>
      <c r="C15" s="14"/>
      <c r="D15" s="14"/>
      <c r="E15" s="14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>
      <c r="A16" s="4">
        <v>8.99</v>
      </c>
      <c r="B16" s="14"/>
      <c r="C16" s="14"/>
      <c r="D16" s="14"/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>
      <c r="A17" s="11">
        <f>COUNTA(I2:I45)*8</f>
        <v>0</v>
      </c>
      <c r="B17" s="14"/>
      <c r="C17" s="14"/>
      <c r="D17" s="14"/>
      <c r="E17" s="14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>
      <c r="A18" s="4">
        <v>10.99</v>
      </c>
      <c r="B18" s="14"/>
      <c r="C18" s="14"/>
      <c r="D18" s="14"/>
      <c r="E18" s="14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>
      <c r="A19" s="11">
        <f>COUNTA(J2:J41)*10</f>
        <v>0</v>
      </c>
      <c r="B19" s="14"/>
      <c r="C19" s="14"/>
      <c r="D19" s="14"/>
      <c r="E19" s="14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>
      <c r="A20" s="4">
        <v>11.99</v>
      </c>
      <c r="B20" s="14"/>
      <c r="C20" s="14"/>
      <c r="D20" s="14"/>
      <c r="E20" s="14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>
      <c r="A21" s="13">
        <f>COUNTA(K2:K80)*11</f>
        <v>0</v>
      </c>
      <c r="B21" s="15"/>
      <c r="C21" s="14"/>
      <c r="D21" s="14"/>
      <c r="E21" s="1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>
      <c r="A22" s="4">
        <v>12.99</v>
      </c>
      <c r="B22" s="15"/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>
      <c r="A23" s="13">
        <f>COUNTA(L2:L70)*12</f>
        <v>0</v>
      </c>
      <c r="B23" s="15"/>
      <c r="C23" s="14"/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>
      <c r="A24" s="4">
        <v>13.99</v>
      </c>
      <c r="B24" s="15"/>
      <c r="C24" s="14"/>
      <c r="D24" s="14"/>
      <c r="E24" s="1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>
      <c r="A25" s="13">
        <f>COUNTA(M2:M85)*13</f>
        <v>0</v>
      </c>
      <c r="B25" s="15"/>
      <c r="C25" s="14"/>
      <c r="D25" s="14"/>
      <c r="E25" s="14"/>
      <c r="F25" s="15"/>
      <c r="G25" s="15"/>
      <c r="H25" s="29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>
      <c r="A26" s="4">
        <v>14.99</v>
      </c>
      <c r="B26" s="15"/>
      <c r="C26" s="14"/>
      <c r="D26" s="14"/>
      <c r="E26" s="1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>
      <c r="A27" s="13">
        <f>COUNTA(N2:N37)*14</f>
        <v>0</v>
      </c>
      <c r="B27" s="15"/>
      <c r="C27" s="15"/>
      <c r="D27" s="15"/>
      <c r="E27" s="1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>
      <c r="A28" s="4">
        <v>15.99</v>
      </c>
      <c r="B28" s="15"/>
      <c r="C28" s="15"/>
      <c r="D28" s="15"/>
      <c r="E28" s="1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>
      <c r="A29" s="13">
        <f>COUNTA(O2:O41)*15</f>
        <v>0</v>
      </c>
      <c r="B29" s="15"/>
      <c r="C29" s="15"/>
      <c r="D29" s="15"/>
      <c r="E29" s="1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>
      <c r="A30" s="4">
        <v>16.99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>
      <c r="A31" s="13">
        <f>COUNTA(Q2:Q41)</f>
        <v>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>
      <c r="A32" s="4">
        <v>17.99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>
      <c r="A33" s="13">
        <f>COUNTA(Q2:Q41)*17</f>
        <v>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>
      <c r="A34" s="4">
        <v>18.99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>
      <c r="A35" s="13">
        <f>COUNTA(R2:R41)*18</f>
        <v>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>
      <c r="A36" s="4">
        <v>22.0</v>
      </c>
      <c r="B36" s="14"/>
      <c r="C36" s="14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>
      <c r="A37" s="13">
        <f>COUNTA(S2:S41)*22</f>
        <v>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>
      <c r="A38" s="17" t="s">
        <v>13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>
      <c r="A39" s="18">
        <f>COUNTA(B2:S43)</f>
        <v>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>
      <c r="A40" s="19" t="s">
        <v>14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>
      <c r="A41" s="20">
        <f>SUM(A3,A5,A7,A9,A11,A13,A15,A17,A19,A21,A23,A25,A27,A29,A31,A33,A35,A37)</f>
        <v>0</v>
      </c>
      <c r="B41" s="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>
      <c r="A43" s="23" t="s">
        <v>15</v>
      </c>
      <c r="B43" s="15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>
      <c r="A44" s="24" t="s">
        <v>16</v>
      </c>
      <c r="B44" s="11">
        <v>392.0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>
      <c r="A45" s="24" t="s">
        <v>17</v>
      </c>
      <c r="B45" s="13">
        <f>VALUE(A41)</f>
        <v>0</v>
      </c>
    </row>
    <row r="46">
      <c r="A46" s="24" t="s">
        <v>18</v>
      </c>
      <c r="B46" s="25"/>
    </row>
    <row r="47">
      <c r="A47" s="24" t="s">
        <v>19</v>
      </c>
      <c r="B47" s="26">
        <f>SUM(B44:B46)</f>
        <v>392</v>
      </c>
    </row>
    <row r="48">
      <c r="A48" s="27"/>
    </row>
    <row r="49">
      <c r="A49" s="21"/>
    </row>
  </sheetData>
  <drawing r:id="rId1"/>
</worksheet>
</file>